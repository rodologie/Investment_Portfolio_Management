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ologie/Documents/Imperial/Investment_Portfolio_Management/"/>
    </mc:Choice>
  </mc:AlternateContent>
  <xr:revisionPtr revIDLastSave="0" documentId="8_{9FFAF077-E02C-ED4E-A721-FC1634854E8C}" xr6:coauthVersionLast="47" xr6:coauthVersionMax="47" xr10:uidLastSave="{00000000-0000-0000-0000-000000000000}"/>
  <bookViews>
    <workbookView xWindow="0" yWindow="680" windowWidth="30240" windowHeight="17240" activeTab="4" xr2:uid="{AAFE51D8-4F98-7D4B-93E3-46CCB45E5473}"/>
  </bookViews>
  <sheets>
    <sheet name="Stock Prices" sheetId="1" r:id="rId1"/>
    <sheet name="Sheet1" sheetId="4" r:id="rId2"/>
    <sheet name="Market Index" sheetId="3" r:id="rId3"/>
    <sheet name="Risk Free Rate" sheetId="2" r:id="rId4"/>
    <sheet name="sharp ratio" sheetId="5" r:id="rId5"/>
  </sheets>
  <calcPr calcId="191029"/>
  <pivotCaches>
    <pivotCache cacheId="1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5" l="1"/>
  <c r="P12" i="5"/>
  <c r="Q12" i="5"/>
  <c r="O12" i="5"/>
  <c r="P11" i="5"/>
  <c r="Q11" i="5"/>
  <c r="O11" i="5"/>
  <c r="P10" i="5"/>
  <c r="Q10" i="5"/>
  <c r="O10" i="5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" i="1"/>
  <c r="I2" i="1"/>
  <c r="J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J74" i="1" s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J146" i="1" s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2" i="2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3" i="3"/>
  <c r="G4" i="1"/>
  <c r="J4" i="1" s="1"/>
  <c r="G5" i="1"/>
  <c r="J5" i="1" s="1"/>
  <c r="G6" i="1"/>
  <c r="J6" i="1" s="1"/>
  <c r="G7" i="1"/>
  <c r="J7" i="1" s="1"/>
  <c r="G8" i="1"/>
  <c r="J8" i="1" s="1"/>
  <c r="G9" i="1"/>
  <c r="J9" i="1" s="1"/>
  <c r="G10" i="1"/>
  <c r="J10" i="1" s="1"/>
  <c r="G11" i="1"/>
  <c r="J11" i="1" s="1"/>
  <c r="G12" i="1"/>
  <c r="J12" i="1" s="1"/>
  <c r="G13" i="1"/>
  <c r="J13" i="1" s="1"/>
  <c r="G14" i="1"/>
  <c r="J14" i="1" s="1"/>
  <c r="G15" i="1"/>
  <c r="J15" i="1" s="1"/>
  <c r="G16" i="1"/>
  <c r="J16" i="1" s="1"/>
  <c r="G17" i="1"/>
  <c r="J17" i="1" s="1"/>
  <c r="G18" i="1"/>
  <c r="J18" i="1" s="1"/>
  <c r="G19" i="1"/>
  <c r="J19" i="1" s="1"/>
  <c r="G20" i="1"/>
  <c r="J20" i="1" s="1"/>
  <c r="G21" i="1"/>
  <c r="J21" i="1" s="1"/>
  <c r="G22" i="1"/>
  <c r="J22" i="1" s="1"/>
  <c r="G23" i="1"/>
  <c r="J23" i="1" s="1"/>
  <c r="G24" i="1"/>
  <c r="J24" i="1" s="1"/>
  <c r="G25" i="1"/>
  <c r="J25" i="1" s="1"/>
  <c r="G26" i="1"/>
  <c r="J26" i="1" s="1"/>
  <c r="G27" i="1"/>
  <c r="J27" i="1" s="1"/>
  <c r="G28" i="1"/>
  <c r="J28" i="1" s="1"/>
  <c r="G29" i="1"/>
  <c r="J29" i="1" s="1"/>
  <c r="G30" i="1"/>
  <c r="J30" i="1" s="1"/>
  <c r="G31" i="1"/>
  <c r="J31" i="1" s="1"/>
  <c r="G32" i="1"/>
  <c r="J32" i="1" s="1"/>
  <c r="G33" i="1"/>
  <c r="J33" i="1" s="1"/>
  <c r="G34" i="1"/>
  <c r="J34" i="1" s="1"/>
  <c r="G35" i="1"/>
  <c r="J35" i="1" s="1"/>
  <c r="G36" i="1"/>
  <c r="J36" i="1" s="1"/>
  <c r="G37" i="1"/>
  <c r="J37" i="1" s="1"/>
  <c r="G38" i="1"/>
  <c r="J38" i="1" s="1"/>
  <c r="G39" i="1"/>
  <c r="J39" i="1" s="1"/>
  <c r="G40" i="1"/>
  <c r="J40" i="1" s="1"/>
  <c r="G41" i="1"/>
  <c r="J41" i="1" s="1"/>
  <c r="G42" i="1"/>
  <c r="J42" i="1" s="1"/>
  <c r="G43" i="1"/>
  <c r="J43" i="1" s="1"/>
  <c r="G44" i="1"/>
  <c r="J44" i="1" s="1"/>
  <c r="G45" i="1"/>
  <c r="J45" i="1" s="1"/>
  <c r="G46" i="1"/>
  <c r="J46" i="1" s="1"/>
  <c r="G47" i="1"/>
  <c r="J47" i="1" s="1"/>
  <c r="G48" i="1"/>
  <c r="J48" i="1" s="1"/>
  <c r="G49" i="1"/>
  <c r="J49" i="1" s="1"/>
  <c r="G50" i="1"/>
  <c r="J50" i="1" s="1"/>
  <c r="G51" i="1"/>
  <c r="J51" i="1" s="1"/>
  <c r="G52" i="1"/>
  <c r="J52" i="1" s="1"/>
  <c r="G53" i="1"/>
  <c r="J53" i="1" s="1"/>
  <c r="G54" i="1"/>
  <c r="J54" i="1" s="1"/>
  <c r="G55" i="1"/>
  <c r="J55" i="1" s="1"/>
  <c r="G56" i="1"/>
  <c r="J56" i="1" s="1"/>
  <c r="G57" i="1"/>
  <c r="J57" i="1" s="1"/>
  <c r="G58" i="1"/>
  <c r="J58" i="1" s="1"/>
  <c r="G59" i="1"/>
  <c r="J59" i="1" s="1"/>
  <c r="G60" i="1"/>
  <c r="J60" i="1" s="1"/>
  <c r="G61" i="1"/>
  <c r="J61" i="1" s="1"/>
  <c r="G62" i="1"/>
  <c r="J62" i="1" s="1"/>
  <c r="G63" i="1"/>
  <c r="J63" i="1" s="1"/>
  <c r="G64" i="1"/>
  <c r="J64" i="1" s="1"/>
  <c r="G65" i="1"/>
  <c r="J65" i="1" s="1"/>
  <c r="G66" i="1"/>
  <c r="J66" i="1" s="1"/>
  <c r="G67" i="1"/>
  <c r="J67" i="1" s="1"/>
  <c r="G68" i="1"/>
  <c r="J68" i="1" s="1"/>
  <c r="G69" i="1"/>
  <c r="J69" i="1" s="1"/>
  <c r="G70" i="1"/>
  <c r="J70" i="1" s="1"/>
  <c r="G71" i="1"/>
  <c r="J71" i="1" s="1"/>
  <c r="G72" i="1"/>
  <c r="J72" i="1" s="1"/>
  <c r="G73" i="1"/>
  <c r="J73" i="1" s="1"/>
  <c r="G75" i="1"/>
  <c r="J75" i="1" s="1"/>
  <c r="G76" i="1"/>
  <c r="J76" i="1" s="1"/>
  <c r="G77" i="1"/>
  <c r="J77" i="1" s="1"/>
  <c r="G78" i="1"/>
  <c r="J78" i="1" s="1"/>
  <c r="G79" i="1"/>
  <c r="J79" i="1" s="1"/>
  <c r="G80" i="1"/>
  <c r="J80" i="1" s="1"/>
  <c r="G81" i="1"/>
  <c r="J81" i="1" s="1"/>
  <c r="G82" i="1"/>
  <c r="J82" i="1" s="1"/>
  <c r="G83" i="1"/>
  <c r="J83" i="1" s="1"/>
  <c r="G84" i="1"/>
  <c r="J84" i="1" s="1"/>
  <c r="G85" i="1"/>
  <c r="J85" i="1" s="1"/>
  <c r="G86" i="1"/>
  <c r="J86" i="1" s="1"/>
  <c r="G87" i="1"/>
  <c r="J87" i="1" s="1"/>
  <c r="G88" i="1"/>
  <c r="J88" i="1" s="1"/>
  <c r="G89" i="1"/>
  <c r="J89" i="1" s="1"/>
  <c r="G90" i="1"/>
  <c r="J90" i="1" s="1"/>
  <c r="G91" i="1"/>
  <c r="J91" i="1" s="1"/>
  <c r="G92" i="1"/>
  <c r="J92" i="1" s="1"/>
  <c r="G93" i="1"/>
  <c r="J93" i="1" s="1"/>
  <c r="G94" i="1"/>
  <c r="J94" i="1" s="1"/>
  <c r="G95" i="1"/>
  <c r="J95" i="1" s="1"/>
  <c r="G96" i="1"/>
  <c r="J96" i="1" s="1"/>
  <c r="G97" i="1"/>
  <c r="J97" i="1" s="1"/>
  <c r="G98" i="1"/>
  <c r="J98" i="1" s="1"/>
  <c r="G99" i="1"/>
  <c r="J99" i="1" s="1"/>
  <c r="G100" i="1"/>
  <c r="J100" i="1" s="1"/>
  <c r="G101" i="1"/>
  <c r="J101" i="1" s="1"/>
  <c r="G102" i="1"/>
  <c r="J102" i="1" s="1"/>
  <c r="G103" i="1"/>
  <c r="J103" i="1" s="1"/>
  <c r="G104" i="1"/>
  <c r="J104" i="1" s="1"/>
  <c r="G105" i="1"/>
  <c r="J105" i="1" s="1"/>
  <c r="G106" i="1"/>
  <c r="J106" i="1" s="1"/>
  <c r="G107" i="1"/>
  <c r="J107" i="1" s="1"/>
  <c r="G108" i="1"/>
  <c r="J108" i="1" s="1"/>
  <c r="G109" i="1"/>
  <c r="J109" i="1" s="1"/>
  <c r="G110" i="1"/>
  <c r="J110" i="1" s="1"/>
  <c r="G111" i="1"/>
  <c r="J111" i="1" s="1"/>
  <c r="G112" i="1"/>
  <c r="J112" i="1" s="1"/>
  <c r="G113" i="1"/>
  <c r="J113" i="1" s="1"/>
  <c r="G114" i="1"/>
  <c r="J114" i="1" s="1"/>
  <c r="G115" i="1"/>
  <c r="J115" i="1" s="1"/>
  <c r="G116" i="1"/>
  <c r="J116" i="1" s="1"/>
  <c r="G117" i="1"/>
  <c r="J117" i="1" s="1"/>
  <c r="G118" i="1"/>
  <c r="J118" i="1" s="1"/>
  <c r="G119" i="1"/>
  <c r="J119" i="1" s="1"/>
  <c r="G120" i="1"/>
  <c r="J120" i="1" s="1"/>
  <c r="G121" i="1"/>
  <c r="J121" i="1" s="1"/>
  <c r="G122" i="1"/>
  <c r="J122" i="1" s="1"/>
  <c r="G123" i="1"/>
  <c r="J123" i="1" s="1"/>
  <c r="G124" i="1"/>
  <c r="J124" i="1" s="1"/>
  <c r="G125" i="1"/>
  <c r="J125" i="1" s="1"/>
  <c r="G126" i="1"/>
  <c r="J126" i="1" s="1"/>
  <c r="G127" i="1"/>
  <c r="J127" i="1" s="1"/>
  <c r="G128" i="1"/>
  <c r="J128" i="1" s="1"/>
  <c r="G129" i="1"/>
  <c r="J129" i="1" s="1"/>
  <c r="G130" i="1"/>
  <c r="J130" i="1" s="1"/>
  <c r="G131" i="1"/>
  <c r="J131" i="1" s="1"/>
  <c r="G132" i="1"/>
  <c r="J132" i="1" s="1"/>
  <c r="G133" i="1"/>
  <c r="J133" i="1" s="1"/>
  <c r="G134" i="1"/>
  <c r="J134" i="1" s="1"/>
  <c r="G135" i="1"/>
  <c r="J135" i="1" s="1"/>
  <c r="G136" i="1"/>
  <c r="J136" i="1" s="1"/>
  <c r="G137" i="1"/>
  <c r="J137" i="1" s="1"/>
  <c r="G138" i="1"/>
  <c r="J138" i="1" s="1"/>
  <c r="G139" i="1"/>
  <c r="J139" i="1" s="1"/>
  <c r="G140" i="1"/>
  <c r="J140" i="1" s="1"/>
  <c r="G141" i="1"/>
  <c r="J141" i="1" s="1"/>
  <c r="G142" i="1"/>
  <c r="J142" i="1" s="1"/>
  <c r="G143" i="1"/>
  <c r="J143" i="1" s="1"/>
  <c r="G144" i="1"/>
  <c r="J144" i="1" s="1"/>
  <c r="G145" i="1"/>
  <c r="J145" i="1" s="1"/>
  <c r="G147" i="1"/>
  <c r="J147" i="1" s="1"/>
  <c r="G148" i="1"/>
  <c r="J148" i="1" s="1"/>
  <c r="G149" i="1"/>
  <c r="J149" i="1" s="1"/>
  <c r="G150" i="1"/>
  <c r="J150" i="1" s="1"/>
  <c r="G151" i="1"/>
  <c r="J151" i="1" s="1"/>
  <c r="G152" i="1"/>
  <c r="J152" i="1" s="1"/>
  <c r="G153" i="1"/>
  <c r="J153" i="1" s="1"/>
  <c r="G154" i="1"/>
  <c r="J154" i="1" s="1"/>
  <c r="G155" i="1"/>
  <c r="J155" i="1" s="1"/>
  <c r="G156" i="1"/>
  <c r="J156" i="1" s="1"/>
  <c r="G157" i="1"/>
  <c r="J157" i="1" s="1"/>
  <c r="G158" i="1"/>
  <c r="J158" i="1" s="1"/>
  <c r="G159" i="1"/>
  <c r="J159" i="1" s="1"/>
  <c r="G160" i="1"/>
  <c r="J160" i="1" s="1"/>
  <c r="G161" i="1"/>
  <c r="J161" i="1" s="1"/>
  <c r="G162" i="1"/>
  <c r="J162" i="1" s="1"/>
  <c r="G163" i="1"/>
  <c r="J163" i="1" s="1"/>
  <c r="G164" i="1"/>
  <c r="J164" i="1" s="1"/>
  <c r="G165" i="1"/>
  <c r="J165" i="1" s="1"/>
  <c r="G166" i="1"/>
  <c r="J166" i="1" s="1"/>
  <c r="G167" i="1"/>
  <c r="J167" i="1" s="1"/>
  <c r="G168" i="1"/>
  <c r="J168" i="1" s="1"/>
  <c r="G169" i="1"/>
  <c r="J169" i="1" s="1"/>
  <c r="G170" i="1"/>
  <c r="J170" i="1" s="1"/>
  <c r="G171" i="1"/>
  <c r="J171" i="1" s="1"/>
  <c r="G172" i="1"/>
  <c r="J172" i="1" s="1"/>
  <c r="G173" i="1"/>
  <c r="J173" i="1" s="1"/>
  <c r="G174" i="1"/>
  <c r="J174" i="1" s="1"/>
  <c r="G175" i="1"/>
  <c r="J175" i="1" s="1"/>
  <c r="G176" i="1"/>
  <c r="J176" i="1" s="1"/>
  <c r="G177" i="1"/>
  <c r="J177" i="1" s="1"/>
  <c r="G178" i="1"/>
  <c r="J178" i="1" s="1"/>
  <c r="G179" i="1"/>
  <c r="J179" i="1" s="1"/>
  <c r="G180" i="1"/>
  <c r="J180" i="1" s="1"/>
  <c r="G181" i="1"/>
  <c r="J181" i="1" s="1"/>
  <c r="G182" i="1"/>
  <c r="J182" i="1" s="1"/>
  <c r="G183" i="1"/>
  <c r="J183" i="1" s="1"/>
  <c r="G184" i="1"/>
  <c r="J184" i="1" s="1"/>
  <c r="G185" i="1"/>
  <c r="J185" i="1" s="1"/>
  <c r="G186" i="1"/>
  <c r="J186" i="1" s="1"/>
  <c r="G187" i="1"/>
  <c r="J187" i="1" s="1"/>
  <c r="G188" i="1"/>
  <c r="J188" i="1" s="1"/>
  <c r="G189" i="1"/>
  <c r="J189" i="1" s="1"/>
  <c r="G190" i="1"/>
  <c r="J190" i="1" s="1"/>
  <c r="G191" i="1"/>
  <c r="J191" i="1" s="1"/>
  <c r="G192" i="1"/>
  <c r="J192" i="1" s="1"/>
  <c r="G193" i="1"/>
  <c r="J193" i="1" s="1"/>
  <c r="G194" i="1"/>
  <c r="J194" i="1" s="1"/>
  <c r="G195" i="1"/>
  <c r="J195" i="1" s="1"/>
  <c r="G196" i="1"/>
  <c r="J196" i="1" s="1"/>
  <c r="G197" i="1"/>
  <c r="J197" i="1" s="1"/>
  <c r="G198" i="1"/>
  <c r="J198" i="1" s="1"/>
  <c r="G199" i="1"/>
  <c r="J199" i="1" s="1"/>
  <c r="G200" i="1"/>
  <c r="J200" i="1" s="1"/>
  <c r="G201" i="1"/>
  <c r="J201" i="1" s="1"/>
  <c r="G202" i="1"/>
  <c r="J202" i="1" s="1"/>
  <c r="G203" i="1"/>
  <c r="J203" i="1" s="1"/>
  <c r="G204" i="1"/>
  <c r="J204" i="1" s="1"/>
  <c r="G205" i="1"/>
  <c r="J205" i="1" s="1"/>
  <c r="G206" i="1"/>
  <c r="J206" i="1" s="1"/>
  <c r="G207" i="1"/>
  <c r="J207" i="1" s="1"/>
  <c r="G208" i="1"/>
  <c r="J208" i="1" s="1"/>
  <c r="G209" i="1"/>
  <c r="J209" i="1" s="1"/>
  <c r="G210" i="1"/>
  <c r="J210" i="1" s="1"/>
  <c r="G211" i="1"/>
  <c r="J211" i="1" s="1"/>
  <c r="G212" i="1"/>
  <c r="J212" i="1" s="1"/>
  <c r="G213" i="1"/>
  <c r="J213" i="1" s="1"/>
  <c r="G214" i="1"/>
  <c r="J214" i="1" s="1"/>
  <c r="G215" i="1"/>
  <c r="J215" i="1" s="1"/>
  <c r="G216" i="1"/>
  <c r="J216" i="1" s="1"/>
  <c r="G217" i="1"/>
  <c r="J217" i="1" s="1"/>
  <c r="G3" i="1"/>
  <c r="J3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</calcChain>
</file>

<file path=xl/sharedStrings.xml><?xml version="1.0" encoding="utf-8"?>
<sst xmlns="http://schemas.openxmlformats.org/spreadsheetml/2006/main" count="898" uniqueCount="99">
  <si>
    <t>Date</t>
  </si>
  <si>
    <t>Ticker</t>
  </si>
  <si>
    <t>Company Name</t>
  </si>
  <si>
    <t>Close Price</t>
  </si>
  <si>
    <t>High Price</t>
  </si>
  <si>
    <t>Low Price</t>
  </si>
  <si>
    <t>2019-01</t>
  </si>
  <si>
    <t>AAPL</t>
  </si>
  <si>
    <t>APPLE INC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</si>
  <si>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</si>
  <si>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</si>
  <si>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</si>
  <si>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</si>
  <si>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</si>
  <si>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</si>
  <si>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</si>
  <si>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</si>
  <si>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</si>
  <si>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</si>
  <si>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</si>
  <si>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</si>
  <si>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</si>
  <si>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</si>
  <si>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</si>
  <si>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</si>
  <si>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</si>
  <si>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</si>
  <si>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</si>
  <si>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</si>
  <si>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</si>
  <si>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</si>
  <si>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</si>
  <si>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</si>
  <si>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</si>
  <si>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</si>
  <si>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</si>
  <si>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</si>
  <si>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</si>
  <si>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</si>
  <si>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</si>
  <si>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</si>
  <si>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</si>
  <si>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</si>
  <si>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</si>
  <si>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</si>
  <si>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</si>
  <si>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</si>
  <si>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</si>
  <si>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</si>
  <si>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</si>
  <si>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</si>
  <si>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</si>
  <si>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</si>
  <si>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</si>
  <si>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</si>
  <si>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</si>
  <si>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</si>
  <si>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</si>
  <si>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</si>
  <si>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</si>
  <si>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</si>
  <si>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</si>
  <si>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</si>
  <si>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</si>
  <si>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</si>
  <si>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</si>
  <si>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</si>
  <si>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</si>
  <si>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</si>
  <si>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</si>
  <si>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</si>
  <si>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</si>
  <si>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</si>
  <si>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</si>
  <si>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</si>
  <si>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</si>
  <si>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</si>
  <si>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</si>
  <si>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</si>
  <si>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</si>
  <si>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AMZN</t>
  </si>
  <si>
    <t>AMAZON.COM INC</t>
  </si>
  <si>
    <t>GE</t>
  </si>
  <si>
    <t>GE AEROSPACE</t>
  </si>
  <si>
    <t>Return on the T bill (in %)</t>
  </si>
  <si>
    <t>Level of the S&amp;P 500 Index</t>
  </si>
  <si>
    <t>return on stocks</t>
  </si>
  <si>
    <t>Grand Total</t>
  </si>
  <si>
    <t>Market return</t>
  </si>
  <si>
    <t>Risk Free rate monthly</t>
  </si>
  <si>
    <t>Market Return</t>
  </si>
  <si>
    <t>Risk Free rate</t>
  </si>
  <si>
    <t>Excess Return</t>
  </si>
  <si>
    <t>Market Excess return</t>
  </si>
  <si>
    <t>Sum of Excess Return</t>
  </si>
  <si>
    <t>EXCESS RETURN</t>
  </si>
  <si>
    <t>mean</t>
  </si>
  <si>
    <t>std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</si>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</sst>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  <charset val="1"/>
    </font>
    <font>
      <sz val="10"/>
      <color theme="0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theme="7" tint="-0.24997711111789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  <border>
      <left/>
      <right/>
      <top style="thin">
        <color theme="7" tint="-0.249977111117893"/>
      </top>
      <bottom style="thin">
        <color theme="7" tint="0.59999389629810485"/>
      </bottom>
      <diagonal/>
    </border>
  </borders>
  <cellStyleXfs count="1">
    <xf numFmtId="0" fontId="0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/>
    <xf numFmtId="0" fontId="4" fillId="0" borderId="1" xfId="0" applyFont="1" applyBorder="1" applyAlignment="1">
      <alignment horizontal="center" vertical="top"/>
    </xf>
    <xf numFmtId="2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1" fillId="0" borderId="0" xfId="0" applyFont="1" applyFill="1" applyAlignment="1" applyProtection="1"/>
    <xf numFmtId="0" fontId="2" fillId="0" borderId="0" xfId="0" applyFont="1" applyFill="1" applyAlignment="1" applyProtection="1">
      <alignment wrapText="1"/>
    </xf>
    <xf numFmtId="0" fontId="6" fillId="0" borderId="0" xfId="0" applyFont="1"/>
    <xf numFmtId="0" fontId="1" fillId="0" borderId="0" xfId="0" applyNumberFormat="1" applyFont="1" applyFill="1" applyAlignment="1" applyProtection="1"/>
    <xf numFmtId="0" fontId="7" fillId="2" borderId="3" xfId="0" applyFont="1" applyFill="1" applyBorder="1"/>
    <xf numFmtId="0" fontId="5" fillId="0" borderId="2" xfId="0" applyNumberFormat="1" applyFont="1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69.531530555556" createdVersion="1" refreshedVersion="8" recordCount="216" upgradeOnRefresh="1" xr:uid="{DDE70563-8604-C844-AFF0-E0D6EC4D1E66}">
  <cacheSource type="worksheet">
    <worksheetSource name="Table1"/>
  </cacheSource>
  <cacheFields count="11">
    <cacheField name="Date" numFmtId="0">
      <sharedItems count="72">
        <s v="2019-01"/>
        <s v="2019-02"/>
        <s v="2019-03"/>
        <s v="2019-04"/>
        <s v="2019-05"/>
        <s v="2019-06"/>
        <s v="2019-07"/>
        <s v="2019-08"/>
        <s v="2019-09"/>
        <s v="2019-10"/>
        <s v="2019-11"/>
        <s v="2019-12"/>
        <s v="2020-01"/>
        <s v="2020-02"/>
        <s v="2020-03"/>
        <s v="2020-04"/>
        <s v="2020-05"/>
        <s v="2020-06"/>
        <s v="2020-07"/>
        <s v="2020-08"/>
        <s v="2020-09"/>
        <s v="2020-10"/>
        <s v="2020-11"/>
        <s v="2020-12"/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</sharedItems>
    </cacheField>
    <cacheField name="Ticker" numFmtId="0">
      <sharedItems/>
    </cacheField>
    <cacheField name="Company Name" numFmtId="0">
      <sharedItems count="3">
        <s v="APPLE INC"/>
        <s v="AMAZON.COM INC"/>
        <s v="GE AEROSPACE"/>
      </sharedItems>
    </cacheField>
    <cacheField name="Close Price" numFmtId="0">
      <sharedItems containsSemiMixedTypes="0" containsString="0" containsNumber="1" minValue="6.07" maxValue="4387.7999999999993"/>
    </cacheField>
    <cacheField name="High Price" numFmtId="0">
      <sharedItems containsSemiMixedTypes="0" containsString="0" containsNumber="1" minValue="7" maxValue="3773.0781999999999"/>
    </cacheField>
    <cacheField name="Low Price" numFmtId="0">
      <sharedItems containsSemiMixedTypes="0" containsString="0" containsNumber="1" minValue="5.48" maxValue="3306.98"/>
    </cacheField>
    <cacheField name="return on stocks" numFmtId="0">
      <sharedItems containsString="0" containsBlank="1" containsNumber="1" minValue="-0.27022058823529416" maxValue="0.3719676549865229"/>
    </cacheField>
    <cacheField name="Market Return" numFmtId="0">
      <sharedItems containsSemiMixedTypes="0" containsString="0" containsNumber="1" minValue="-0.12511932083595659" maxValue="0.12684410293315368"/>
    </cacheField>
    <cacheField name="Risk Free rate" numFmtId="0">
      <sharedItems containsSemiMixedTypes="0" containsString="0" containsNumber="1" minValue="8.3329514133367866E-6" maxValue="4.5272215436409358E-3"/>
    </cacheField>
    <cacheField name="Excess Return" numFmtId="0">
      <sharedItems containsSemiMixedTypes="0" containsString="0" containsNumber="1" minValue="-0.27052839991939281" maxValue="0.37189268590624541"/>
    </cacheField>
    <cacheField name="Market Excess return" numFmtId="0">
      <sharedItems containsSemiMixedTypes="0" containsString="0" containsNumber="1" minValue="-0.12542713252005525" maxValue="0.126752482449311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x v="0"/>
    <s v="AAPL"/>
    <x v="0"/>
    <n v="41.61"/>
    <n v="169"/>
    <n v="142"/>
    <m/>
    <n v="0"/>
    <n v="1.9783315388433032E-3"/>
    <n v="-1.9783315388433032E-3"/>
    <n v="-1.9783315388433032E-3"/>
  </r>
  <r>
    <x v="1"/>
    <s v="AAPL"/>
    <x v="0"/>
    <n v="43.287500000000001"/>
    <n v="175.87"/>
    <n v="165.93"/>
    <n v="4.0314828166306223E-2"/>
    <n v="2.9728930143115964E-2"/>
    <n v="2.0027906163269105E-3"/>
    <n v="3.8312037549979312E-2"/>
    <n v="2.7726139526789054E-2"/>
  </r>
  <r>
    <x v="2"/>
    <s v="AAPL"/>
    <x v="0"/>
    <n v="47.487499999999997"/>
    <n v="197.69"/>
    <n v="169.5"/>
    <n v="9.7025700259890171E-2"/>
    <n v="1.7924287751078408E-2"/>
    <n v="2.0190930200914003E-3"/>
    <n v="9.5006607239798771E-2"/>
    <n v="1.5905194730987008E-2"/>
  </r>
  <r>
    <x v="3"/>
    <s v="AAPL"/>
    <x v="0"/>
    <n v="50.167499999999997"/>
    <n v="208.48"/>
    <n v="188.38"/>
    <n v="5.6435904185311921E-2"/>
    <n v="3.9313434942139368E-2"/>
    <n v="2.0027906163269105E-3"/>
    <n v="5.443311356898501E-2"/>
    <n v="3.7310644325812457E-2"/>
  </r>
  <r>
    <x v="4"/>
    <s v="AAPL"/>
    <x v="0"/>
    <n v="43.767499999999998"/>
    <n v="215.31"/>
    <n v="174.99"/>
    <n v="-0.12757263168385904"/>
    <n v="-6.5777726481161508E-2"/>
    <n v="1.9783315388433032E-3"/>
    <n v="-0.12955096322270235"/>
    <n v="-6.7756058020004811E-2"/>
  </r>
  <r>
    <x v="5"/>
    <s v="AAPL"/>
    <x v="0"/>
    <n v="49.48"/>
    <n v="201.57"/>
    <n v="170.27"/>
    <n v="0.13051922088307533"/>
    <n v="6.8930183208215035E-2"/>
    <n v="1.8314389855391688E-3"/>
    <n v="0.12868778189753616"/>
    <n v="6.7098744222675866E-2"/>
  </r>
  <r>
    <x v="6"/>
    <s v="AAPL"/>
    <x v="0"/>
    <n v="53.26"/>
    <n v="221.37"/>
    <n v="198.41"/>
    <n v="7.6394502829426059E-2"/>
    <n v="1.312819536603934E-2"/>
    <n v="1.7742500619855051E-3"/>
    <n v="7.4620252767440554E-2"/>
    <n v="1.1353945304053835E-2"/>
  </r>
  <r>
    <x v="7"/>
    <s v="AAPL"/>
    <x v="0"/>
    <n v="52.185000000000002"/>
    <n v="218.03"/>
    <n v="192.58"/>
    <n v="-2.0184003004130601E-2"/>
    <n v="-1.8091652742267789E-2"/>
    <n v="1.7088472872288651E-3"/>
    <n v="-2.1892850291359466E-2"/>
    <n v="-1.9800500029496654E-2"/>
  </r>
  <r>
    <x v="8"/>
    <s v="AAPL"/>
    <x v="0"/>
    <n v="55.9925"/>
    <n v="226.42"/>
    <n v="204.22"/>
    <n v="7.2961578997796248E-2"/>
    <n v="1.7181167690656883E-2"/>
    <n v="1.6433975062259965E-3"/>
    <n v="7.1318181491570251E-2"/>
    <n v="1.5537770184430887E-2"/>
  </r>
  <r>
    <x v="9"/>
    <s v="AAPL"/>
    <x v="0"/>
    <n v="62.19"/>
    <n v="249.75"/>
    <n v="215.13200000000001"/>
    <n v="0.11068446666964323"/>
    <n v="2.0431747482144953E-2"/>
    <n v="1.4303602255574255E-3"/>
    <n v="0.1092541064440858"/>
    <n v="1.9001387256587527E-2"/>
  </r>
  <r>
    <x v="10"/>
    <s v="AAPL"/>
    <x v="0"/>
    <n v="66.8125"/>
    <n v="268"/>
    <n v="249.16"/>
    <n v="7.4328670204212938E-2"/>
    <n v="3.4047064090915104E-2"/>
    <n v="1.3072269593599195E-3"/>
    <n v="7.3021443244853018E-2"/>
    <n v="3.2739837131555184E-2"/>
  </r>
  <r>
    <x v="11"/>
    <s v="AAPL"/>
    <x v="0"/>
    <n v="73.412499999999994"/>
    <n v="293.97000000000003"/>
    <n v="256.29000000000002"/>
    <n v="9.8783910196445196E-2"/>
    <n v="2.8589803182446302E-2"/>
    <n v="1.2825803067024744E-3"/>
    <n v="9.7501329889742722E-2"/>
    <n v="2.7307222875743827E-2"/>
  </r>
  <r>
    <x v="12"/>
    <s v="AAPL"/>
    <x v="0"/>
    <n v="77.377499999999998"/>
    <n v="327.85"/>
    <n v="292.75"/>
    <n v="5.4009875702366816E-2"/>
    <n v="-1.6280898111292685E-3"/>
    <n v="1.2661454966749197E-3"/>
    <n v="5.2743730205691897E-2"/>
    <n v="-2.8942353078041882E-3"/>
  </r>
  <r>
    <x v="13"/>
    <s v="AAPL"/>
    <x v="0"/>
    <n v="68.34"/>
    <n v="327.22000000000003"/>
    <n v="256.37"/>
    <n v="-0.1167975186585247"/>
    <n v="-8.4110469009648109E-2"/>
    <n v="1.3072269593599195E-3"/>
    <n v="-0.11810474561788462"/>
    <n v="-8.5417695969008028E-2"/>
  </r>
  <r>
    <x v="14"/>
    <s v="AAPL"/>
    <x v="0"/>
    <n v="63.572499999999998"/>
    <n v="304"/>
    <n v="212.61"/>
    <n v="-6.9761486684226007E-2"/>
    <n v="-0.12511932083595659"/>
    <n v="3.0781168409865778E-4"/>
    <n v="-7.0069298368324665E-2"/>
    <n v="-0.12542713252005525"/>
  </r>
  <r>
    <x v="15"/>
    <s v="AAPL"/>
    <x v="0"/>
    <n v="73.45"/>
    <n v="294.52999999999997"/>
    <n v="236.9"/>
    <n v="0.15537378583507028"/>
    <n v="0.12684410293315368"/>
    <n v="9.1620483841925449E-5"/>
    <n v="0.15528216535122835"/>
    <n v="0.12675248244931175"/>
  </r>
  <r>
    <x v="16"/>
    <s v="AAPL"/>
    <x v="0"/>
    <n v="79.484999999999999"/>
    <n v="324.24"/>
    <n v="285.85000000000002"/>
    <n v="8.2164737916950253E-2"/>
    <n v="4.5281775012618368E-2"/>
    <n v="8.3295163273211514E-5"/>
    <n v="8.2081442753677042E-2"/>
    <n v="4.5198479849345156E-2"/>
  </r>
  <r>
    <x v="17"/>
    <s v="AAPL"/>
    <x v="0"/>
    <n v="91.2"/>
    <n v="372.38"/>
    <n v="317.20999999999998"/>
    <n v="0.14738629930175509"/>
    <n v="1.838840328350267E-2"/>
    <n v="1.0826883828274347E-4"/>
    <n v="0.14727803046347235"/>
    <n v="1.8280134445219927E-2"/>
  </r>
  <r>
    <x v="18"/>
    <s v="AAPL"/>
    <x v="0"/>
    <n v="106.26"/>
    <n v="425.66"/>
    <n v="356.58"/>
    <n v="0.16513157894736843"/>
    <n v="5.5101296975444213E-2"/>
    <n v="9.1620483841925449E-5"/>
    <n v="0.16503995846352651"/>
    <n v="5.5009676491602287E-2"/>
  </r>
  <r>
    <x v="19"/>
    <s v="AAPL"/>
    <x v="0"/>
    <n v="129.04"/>
    <n v="131"/>
    <n v="107.8925"/>
    <n v="0.21437982307547512"/>
    <n v="7.0064687324219249E-2"/>
    <n v="6.6642234708869097E-5"/>
    <n v="0.21431318084076625"/>
    <n v="6.999804508951038E-2"/>
  </r>
  <r>
    <x v="20"/>
    <s v="AAPL"/>
    <x v="0"/>
    <n v="115.81"/>
    <n v="137.97999999999999"/>
    <n v="103.1"/>
    <n v="-0.10252634841909478"/>
    <n v="-3.9227954095494386E-2"/>
    <n v="7.4969080277487166E-5"/>
    <n v="-0.10260131749937226"/>
    <n v="-3.9302923175771873E-2"/>
  </r>
  <r>
    <x v="21"/>
    <s v="AAPL"/>
    <x v="0"/>
    <n v="108.86"/>
    <n v="125.39"/>
    <n v="107.72"/>
    <n v="-6.0012088766082397E-2"/>
    <n v="-2.766577460600653E-2"/>
    <n v="7.4969080277487166E-5"/>
    <n v="-6.0087057846359884E-2"/>
    <n v="-2.7740743686284017E-2"/>
  </r>
  <r>
    <x v="22"/>
    <s v="AAPL"/>
    <x v="0"/>
    <n v="119.05"/>
    <n v="121.99"/>
    <n v="107.32"/>
    <n v="9.3606467021862927E-2"/>
    <n v="0.10754565805086302"/>
    <n v="7.4969080277487166E-5"/>
    <n v="9.353149794158544E-2"/>
    <n v="0.10747068897058554"/>
  </r>
  <r>
    <x v="23"/>
    <s v="AAPL"/>
    <x v="0"/>
    <n v="132.69"/>
    <n v="138.78899999999999"/>
    <n v="120.01"/>
    <n v="0.11457370852582949"/>
    <n v="3.7121406659432372E-2"/>
    <n v="6.6642234708869097E-5"/>
    <n v="0.11450706629112062"/>
    <n v="3.7054764424723503E-2"/>
  </r>
  <r>
    <x v="24"/>
    <s v="AAPL"/>
    <x v="0"/>
    <n v="131.96"/>
    <n v="145.09"/>
    <n v="126.38200000000001"/>
    <n v="-5.5015449544049272E-3"/>
    <n v="-1.1136640158463601E-2"/>
    <n v="6.6642234708869097E-5"/>
    <n v="-5.5681871891137963E-3"/>
    <n v="-1.120328239317247E-2"/>
  </r>
  <r>
    <x v="25"/>
    <s v="AAPL"/>
    <x v="0"/>
    <n v="121.26"/>
    <n v="137.87700000000001"/>
    <n v="118.39"/>
    <n v="-8.1085177326462587E-2"/>
    <n v="2.6091474971999741E-2"/>
    <n v="3.3327223783574667E-5"/>
    <n v="-8.1118504550246162E-2"/>
    <n v="2.6058147748216166E-2"/>
  </r>
  <r>
    <x v="26"/>
    <s v="AAPL"/>
    <x v="0"/>
    <n v="122.15"/>
    <n v="128.72"/>
    <n v="116.21"/>
    <n v="7.3396008576612284E-3"/>
    <n v="4.2438634008107733E-2"/>
    <n v="1.6665139084048874E-5"/>
    <n v="7.3229357185771796E-3"/>
    <n v="4.2421968869023684E-2"/>
  </r>
  <r>
    <x v="27"/>
    <s v="AAPL"/>
    <x v="0"/>
    <n v="131.46"/>
    <n v="137.07"/>
    <n v="122.49"/>
    <n v="7.621776504297996E-2"/>
    <n v="5.2425312555847307E-2"/>
    <n v="1.6665139084048874E-5"/>
    <n v="7.6201099903895911E-2"/>
    <n v="5.2408647416763258E-2"/>
  </r>
  <r>
    <x v="28"/>
    <s v="AAPL"/>
    <x v="0"/>
    <n v="124.61"/>
    <n v="134.07"/>
    <n v="122.25"/>
    <n v="-5.2107104822759834E-2"/>
    <n v="5.4865025818131288E-3"/>
    <n v="8.3329514133367866E-6"/>
    <n v="-5.2115437774173171E-2"/>
    <n v="5.478169630399792E-3"/>
  </r>
  <r>
    <x v="29"/>
    <s v="AAPL"/>
    <x v="0"/>
    <n v="136.96"/>
    <n v="137.41"/>
    <n v="123.13"/>
    <n v="9.9109220768798717E-2"/>
    <n v="2.221397632316955E-2"/>
    <n v="2.4996563158685703E-5"/>
    <n v="9.9084224205640031E-2"/>
    <n v="2.2188979760010864E-2"/>
  </r>
  <r>
    <x v="30"/>
    <s v="AAPL"/>
    <x v="0"/>
    <n v="145.86000000000001"/>
    <n v="150"/>
    <n v="135.76"/>
    <n v="6.4982476635514055E-2"/>
    <n v="2.2748109365910464E-2"/>
    <n v="4.1657121104599071E-5"/>
    <n v="6.4940819514409456E-2"/>
    <n v="2.2706452244805865E-2"/>
  </r>
  <r>
    <x v="31"/>
    <s v="AAPL"/>
    <x v="0"/>
    <n v="151.83000000000001"/>
    <n v="153.49"/>
    <n v="144.5"/>
    <n v="4.092965857671739E-2"/>
    <n v="2.8990321391681052E-2"/>
    <n v="3.3327223783574667E-5"/>
    <n v="4.0896331352933815E-2"/>
    <n v="2.8956994167897477E-2"/>
  </r>
  <r>
    <x v="32"/>
    <s v="AAPL"/>
    <x v="0"/>
    <n v="141.5"/>
    <n v="157.26"/>
    <n v="141.27000000000001"/>
    <n v="-6.8036619903839898E-2"/>
    <n v="-4.7569140421166278E-2"/>
    <n v="4.1657121104599071E-5"/>
    <n v="-6.8078277024944497E-2"/>
    <n v="-4.7610797542270877E-2"/>
  </r>
  <r>
    <x v="33"/>
    <s v="AAPL"/>
    <x v="0"/>
    <n v="149.80000000000001"/>
    <n v="153.16499999999999"/>
    <n v="138.27000000000001"/>
    <n v="5.8657243816254499E-2"/>
    <n v="6.9143873301234615E-2"/>
    <n v="4.99862552685304E-5"/>
    <n v="5.8607257560985969E-2"/>
    <n v="6.9093887045966085E-2"/>
  </r>
  <r>
    <x v="34"/>
    <s v="AAPL"/>
    <x v="0"/>
    <n v="165.3"/>
    <n v="165.7"/>
    <n v="147.47999999999999"/>
    <n v="0.1034712950600801"/>
    <n v="-8.3337314184714628E-3"/>
    <n v="5.8314626421251958E-5"/>
    <n v="0.10341298043365885"/>
    <n v="-8.3920460448927148E-3"/>
  </r>
  <r>
    <x v="35"/>
    <s v="AAPL"/>
    <x v="0"/>
    <n v="177.57"/>
    <n v="182.13"/>
    <n v="157.80000000000001"/>
    <n v="7.4228675136116043E-2"/>
    <n v="4.3612874972629799E-2"/>
    <n v="3.3327223783574667E-5"/>
    <n v="7.4195347912332468E-2"/>
    <n v="4.3579547748846224E-2"/>
  </r>
  <r>
    <x v="36"/>
    <s v="AAPL"/>
    <x v="0"/>
    <n v="174.78"/>
    <n v="182.94"/>
    <n v="154.69999999999999"/>
    <n v="-1.571211353269129E-2"/>
    <n v="-5.2585089106999758E-2"/>
    <n v="4.1657121104599071E-5"/>
    <n v="-1.5753770653795889E-2"/>
    <n v="-5.2626746228104357E-2"/>
  </r>
  <r>
    <x v="37"/>
    <s v="AAPL"/>
    <x v="0"/>
    <n v="165.12"/>
    <n v="176.65"/>
    <n v="152"/>
    <n v="-5.5269481634054221E-2"/>
    <n v="-3.136052086678269E-2"/>
    <n v="3.3327223783574667E-5"/>
    <n v="-5.5302808857837796E-2"/>
    <n v="-3.1393848090566265E-2"/>
  </r>
  <r>
    <x v="38"/>
    <s v="AAPL"/>
    <x v="0"/>
    <n v="174.61"/>
    <n v="179.61"/>
    <n v="150.1"/>
    <n v="5.7473352713178348E-2"/>
    <n v="3.5773238773279988E-2"/>
    <n v="1.4987639212593606E-4"/>
    <n v="5.7323476321052412E-2"/>
    <n v="3.5623362381154051E-2"/>
  </r>
  <r>
    <x v="39"/>
    <s v="AAPL"/>
    <x v="0"/>
    <n v="157.65"/>
    <n v="178.49"/>
    <n v="155.38"/>
    <n v="-9.7130748525284957E-2"/>
    <n v="-8.7956719149039395E-2"/>
    <n v="2.5796701004310307E-4"/>
    <n v="-9.738871553532806E-2"/>
    <n v="-8.8214686159082498E-2"/>
  </r>
  <r>
    <x v="40"/>
    <s v="AAPL"/>
    <x v="0"/>
    <n v="148.84"/>
    <n v="166.48"/>
    <n v="132.61000000000001"/>
    <n v="-5.5883285759594052E-2"/>
    <n v="5.3243883608711947E-5"/>
    <n v="4.8205321330185846E-4"/>
    <n v="-5.6365338972895911E-2"/>
    <n v="-4.2880932969314653E-4"/>
  </r>
  <r>
    <x v="41"/>
    <s v="AAPL"/>
    <x v="0"/>
    <n v="136.72"/>
    <n v="151.74"/>
    <n v="129.04"/>
    <n v="-8.1429723192690165E-2"/>
    <n v="-8.391999322386641E-2"/>
    <n v="8.7907064595027506E-4"/>
    <n v="-8.230879383864044E-2"/>
    <n v="-8.4799063869816685E-2"/>
  </r>
  <r>
    <x v="42"/>
    <s v="AAPL"/>
    <x v="0"/>
    <n v="162.51"/>
    <n v="163.63"/>
    <n v="135.66"/>
    <n v="0.18863370392042125"/>
    <n v="9.1116347632205968E-2"/>
    <n v="1.5287470679612447E-3"/>
    <n v="0.18710495685246001"/>
    <n v="8.9587600564244724E-2"/>
  </r>
  <r>
    <x v="43"/>
    <s v="AAPL"/>
    <x v="0"/>
    <n v="157.22"/>
    <n v="176.15"/>
    <n v="157.13999999999999"/>
    <n v="-3.2551842963509887E-2"/>
    <n v="-4.2440119216810436E-2"/>
    <n v="1.8804294971668245E-3"/>
    <n v="-3.4432272460676712E-2"/>
    <n v="-4.4320548713977261E-2"/>
  </r>
  <r>
    <x v="44"/>
    <s v="AAPL"/>
    <x v="0"/>
    <n v="138.19999999999999"/>
    <n v="164.26"/>
    <n v="138"/>
    <n v="-0.12097697493957518"/>
    <n v="-9.3395701643489287E-2"/>
    <n v="2.1494073283745418E-3"/>
    <n v="-0.12312638226794972"/>
    <n v="-9.5545108971863829E-2"/>
  </r>
  <r>
    <x v="45"/>
    <s v="AAPL"/>
    <x v="0"/>
    <n v="153.34"/>
    <n v="157.5"/>
    <n v="134.37"/>
    <n v="0.10955137481910286"/>
    <n v="7.9863454576893297E-2"/>
    <n v="2.7254391280759904E-3"/>
    <n v="0.10682593569102687"/>
    <n v="7.7138015448817307E-2"/>
  </r>
  <r>
    <x v="46"/>
    <s v="AAPL"/>
    <x v="0"/>
    <n v="148.03"/>
    <n v="155.44999999999999"/>
    <n v="134.38"/>
    <n v="-3.4628929176992319E-2"/>
    <n v="5.375286029369989E-2"/>
    <n v="3.1691721789193217E-3"/>
    <n v="-3.7798101355911641E-2"/>
    <n v="5.0583688114780569E-2"/>
  </r>
  <r>
    <x v="47"/>
    <s v="AAPL"/>
    <x v="0"/>
    <n v="129.93"/>
    <n v="150.91990000000001"/>
    <n v="125.87"/>
    <n v="-0.12227251232858201"/>
    <n v="-5.897144929916108E-2"/>
    <n v="3.1933138078821255E-3"/>
    <n v="-0.12546582613646412"/>
    <n v="-6.2164763107043206E-2"/>
  </r>
  <r>
    <x v="48"/>
    <s v="AAPL"/>
    <x v="0"/>
    <n v="144.29"/>
    <n v="147.22999999999999"/>
    <n v="124.17"/>
    <n v="0.11052104979604391"/>
    <n v="6.1752832400052068E-2"/>
    <n v="3.690815569153072E-3"/>
    <n v="0.10683023422689084"/>
    <n v="5.8062016830898996E-2"/>
  </r>
  <r>
    <x v="49"/>
    <s v="AAPL"/>
    <x v="0"/>
    <n v="147.41"/>
    <n v="157.38"/>
    <n v="141.32"/>
    <n v="2.1623120105343438E-2"/>
    <n v="-2.6112446646715356E-2"/>
    <n v="3.7867936638156241E-3"/>
    <n v="1.7836326441527814E-2"/>
    <n v="-2.989924031053098E-2"/>
  </r>
  <r>
    <x v="50"/>
    <s v="AAPL"/>
    <x v="0"/>
    <n v="164.9"/>
    <n v="165"/>
    <n v="143.9"/>
    <n v="0.11864866698324408"/>
    <n v="3.5051572358727079E-2"/>
    <n v="3.6668052630131065E-3"/>
    <n v="0.11498186172023098"/>
    <n v="3.1384767095713972E-2"/>
  </r>
  <r>
    <x v="51"/>
    <s v="AAPL"/>
    <x v="0"/>
    <n v="169.68"/>
    <n v="169.85"/>
    <n v="159.78"/>
    <n v="2.8987265009096427E-2"/>
    <n v="1.4642360882970416E-2"/>
    <n v="3.4103013914235092E-3"/>
    <n v="2.5576963617672917E-2"/>
    <n v="1.1232059491546906E-2"/>
  </r>
  <r>
    <x v="52"/>
    <s v="AAPL"/>
    <x v="0"/>
    <n v="177.25"/>
    <n v="179.35"/>
    <n v="164.31"/>
    <n v="4.4613389910419569E-2"/>
    <n v="2.4823239348792572E-3"/>
    <n v="4.463764356697375E-3"/>
    <n v="4.0149625553722194E-2"/>
    <n v="-1.9814404218181179E-3"/>
  </r>
  <r>
    <x v="53"/>
    <s v="AAPL"/>
    <x v="0"/>
    <n v="193.97"/>
    <n v="194.48"/>
    <n v="176.9306"/>
    <n v="9.4330042313117063E-2"/>
    <n v="6.4727512841431398E-2"/>
    <n v="4.2333616592649115E-3"/>
    <n v="9.0096680653852151E-2"/>
    <n v="6.0494151182166486E-2"/>
  </r>
  <r>
    <x v="54"/>
    <s v="AAPL"/>
    <x v="0"/>
    <n v="196.45"/>
    <n v="198.23"/>
    <n v="186.6"/>
    <n v="1.2785482291075886E-2"/>
    <n v="3.1138913980379185E-2"/>
    <n v="4.3843808093919634E-3"/>
    <n v="8.401101481683923E-3"/>
    <n v="2.6754533170987221E-2"/>
  </r>
  <r>
    <x v="55"/>
    <s v="AAPL"/>
    <x v="0"/>
    <n v="187.87"/>
    <n v="196.73"/>
    <n v="171.96"/>
    <n v="-4.367523542886223E-2"/>
    <n v="-1.7716432481433741E-2"/>
    <n v="4.5034302658089054E-3"/>
    <n v="-4.8178665694671136E-2"/>
    <n v="-2.2219862747242646E-2"/>
  </r>
  <r>
    <x v="56"/>
    <s v="AAPL"/>
    <x v="0"/>
    <n v="171.21"/>
    <n v="189.98"/>
    <n v="167.62"/>
    <n v="-8.8678341406291564E-2"/>
    <n v="-4.8719291162155016E-2"/>
    <n v="4.4954984622596061E-3"/>
    <n v="-9.317383986855117E-2"/>
    <n v="-5.3214789624414623E-2"/>
  </r>
  <r>
    <x v="57"/>
    <s v="AAPL"/>
    <x v="0"/>
    <n v="170.77"/>
    <n v="182.34"/>
    <n v="165.67"/>
    <n v="-2.5699433444308028E-3"/>
    <n v="-2.1979687736850082E-2"/>
    <n v="4.5272215436409358E-3"/>
    <n v="-7.097164888071739E-3"/>
    <n v="-2.6506909280491018E-2"/>
  </r>
  <r>
    <x v="58"/>
    <s v="AAPL"/>
    <x v="0"/>
    <n v="189.95"/>
    <n v="192.93"/>
    <n v="170.12"/>
    <n v="0.11231480939275035"/>
    <n v="8.9179264628737653E-2"/>
    <n v="4.4954984622596061E-3"/>
    <n v="0.10781931093049074"/>
    <n v="8.4683766166478047E-2"/>
  </r>
  <r>
    <x v="59"/>
    <s v="AAPL"/>
    <x v="0"/>
    <n v="192.53"/>
    <n v="199.62"/>
    <n v="187.4511"/>
    <n v="1.3582521716241183E-2"/>
    <n v="4.4229169403213746E-2"/>
    <n v="4.5034302658089054E-3"/>
    <n v="9.0790914504322775E-3"/>
    <n v="3.972573913740484E-2"/>
  </r>
  <r>
    <x v="60"/>
    <s v="AAPL"/>
    <x v="0"/>
    <n v="184.4"/>
    <n v="196.38"/>
    <n v="180.17"/>
    <n v="-4.2227185373707968E-2"/>
    <n v="1.5895744712075631E-2"/>
    <n v="4.5034302658089054E-3"/>
    <n v="-4.6730615639516873E-2"/>
    <n v="1.1392314446266726E-2"/>
  </r>
  <r>
    <x v="61"/>
    <s v="AAPL"/>
    <x v="0"/>
    <n v="180.75"/>
    <n v="191.05"/>
    <n v="179.25"/>
    <n v="-1.9793926247288533E-2"/>
    <n v="5.1720615397315289E-2"/>
    <n v="4.463764356697375E-3"/>
    <n v="-2.4257690603985908E-2"/>
    <n v="4.7256851040617914E-2"/>
  </r>
  <r>
    <x v="62"/>
    <s v="AAPL"/>
    <x v="0"/>
    <n v="171.48"/>
    <n v="180.53"/>
    <n v="168.49"/>
    <n v="-5.1286307053941965E-2"/>
    <n v="3.1018764704381814E-2"/>
    <n v="4.4796327880016751E-3"/>
    <n v="-5.576593984194364E-2"/>
    <n v="2.6539131916380139E-2"/>
  </r>
  <r>
    <x v="63"/>
    <s v="AAPL"/>
    <x v="0"/>
    <n v="170.33"/>
    <n v="178.36"/>
    <n v="164.07499999999999"/>
    <n v="-6.7063214369021303E-3"/>
    <n v="-4.1615042774082567E-2"/>
    <n v="4.455829106839726E-3"/>
    <n v="-1.1162150543741856E-2"/>
    <n v="-4.6070871880922293E-2"/>
  </r>
  <r>
    <x v="64"/>
    <s v="AAPL"/>
    <x v="0"/>
    <n v="192.25"/>
    <n v="193"/>
    <n v="169.11"/>
    <n v="0.1286913638231667"/>
    <n v="4.8021224499522536E-2"/>
    <n v="4.471698917043021E-3"/>
    <n v="0.12421966490612368"/>
    <n v="4.3549525582479515E-2"/>
  </r>
  <r>
    <x v="65"/>
    <s v="AAPL"/>
    <x v="0"/>
    <n v="210.62"/>
    <n v="220.2"/>
    <n v="192.15"/>
    <n v="9.555266579973995E-2"/>
    <n v="3.4669759034089816E-2"/>
    <n v="4.439956538087042E-3"/>
    <n v="9.1112709261652908E-2"/>
    <n v="3.0229802496002774E-2"/>
  </r>
  <r>
    <x v="66"/>
    <s v="AAPL"/>
    <x v="0"/>
    <n v="222.08"/>
    <n v="237.23"/>
    <n v="211.92"/>
    <n v="5.4410787199696171E-2"/>
    <n v="1.1321349038912444E-2"/>
    <n v="4.455829106839726E-3"/>
    <n v="4.9954958092856445E-2"/>
    <n v="6.8655199320727181E-3"/>
  </r>
  <r>
    <x v="67"/>
    <s v="AAPL"/>
    <x v="0"/>
    <n v="229"/>
    <n v="232.92"/>
    <n v="196"/>
    <n v="3.1159942363112335E-2"/>
    <n v="2.2834688445031861E-2"/>
    <n v="4.471698917043021E-3"/>
    <n v="2.6688243446069314E-2"/>
    <n v="1.836298952798884E-2"/>
  </r>
  <r>
    <x v="68"/>
    <s v="AAPL"/>
    <x v="0"/>
    <n v="233"/>
    <n v="233.09"/>
    <n v="213.92"/>
    <n v="1.7467248908296942E-2"/>
    <n v="2.0196869910063014E-2"/>
    <n v="4.1219243192651689E-3"/>
    <n v="1.3345324589031773E-2"/>
    <n v="1.6074945590797845E-2"/>
  </r>
  <r>
    <x v="69"/>
    <s v="AAPL"/>
    <x v="0"/>
    <n v="225.91"/>
    <n v="237.49"/>
    <n v="221.33"/>
    <n v="-3.0429184549356239E-2"/>
    <n v="-9.896780552817494E-3"/>
    <n v="4.0103507726252374E-3"/>
    <n v="-3.4439535321981476E-2"/>
    <n v="-1.3907131325442731E-2"/>
  </r>
  <r>
    <x v="70"/>
    <s v="AAPL"/>
    <x v="0"/>
    <n v="237.33"/>
    <n v="237.81"/>
    <n v="219.71"/>
    <n v="5.0551104422115072E-2"/>
    <n v="5.7301352215863834E-2"/>
    <n v="3.8427343023630378E-3"/>
    <n v="4.6708370119752034E-2"/>
    <n v="5.3458617913500796E-2"/>
  </r>
  <r>
    <x v="71"/>
    <s v="AAPL"/>
    <x v="0"/>
    <n v="250.42"/>
    <n v="260.10000000000002"/>
    <n v="237.16"/>
    <n v="5.5155269034677344E-2"/>
    <n v="-2.4990136563014929E-2"/>
    <n v="3.6748094004368514E-3"/>
    <n v="5.1480459634240493E-2"/>
    <n v="-2.8664945963451781E-2"/>
  </r>
  <r>
    <x v="0"/>
    <s v="AMZN"/>
    <x v="1"/>
    <n v="1718.73"/>
    <n v="1736.4110000000001"/>
    <n v="1460.93"/>
    <m/>
    <n v="0"/>
    <n v="1.9783315388433032E-3"/>
    <n v="-1.9783315388433032E-3"/>
    <n v="-1.9783315388433032E-3"/>
  </r>
  <r>
    <x v="1"/>
    <s v="AMZN"/>
    <x v="1"/>
    <n v="1639.83"/>
    <n v="1673.06"/>
    <n v="1566.7560000000001"/>
    <n v="-4.5905988724232481E-2"/>
    <n v="2.9728930143115964E-2"/>
    <n v="2.0027906163269105E-3"/>
    <n v="-4.7908779340559392E-2"/>
    <n v="2.7726139526789054E-2"/>
  </r>
  <r>
    <x v="2"/>
    <s v="AMZN"/>
    <x v="1"/>
    <n v="1780.75"/>
    <n v="1823.75"/>
    <n v="1586.57"/>
    <n v="8.5935737241055521E-2"/>
    <n v="1.7924287751078408E-2"/>
    <n v="2.0190930200914003E-3"/>
    <n v="8.3916644220964121E-2"/>
    <n v="1.5905194730987008E-2"/>
  </r>
  <r>
    <x v="3"/>
    <s v="AMZN"/>
    <x v="1"/>
    <n v="1926.52"/>
    <n v="1956.335"/>
    <n v="1798.73"/>
    <n v="8.1858767373297753E-2"/>
    <n v="3.9313434942139368E-2"/>
    <n v="2.0027906163269105E-3"/>
    <n v="7.9855976756970842E-2"/>
    <n v="3.7310644325812457E-2"/>
  </r>
  <r>
    <x v="4"/>
    <s v="AMZN"/>
    <x v="1"/>
    <n v="1775.07"/>
    <n v="1964.4"/>
    <n v="1772.7034000000001"/>
    <n v="-7.861325083570378E-2"/>
    <n v="-6.5777726481161508E-2"/>
    <n v="1.9783315388433032E-3"/>
    <n v="-8.0591582374547083E-2"/>
    <n v="-6.7756058020004811E-2"/>
  </r>
  <r>
    <x v="5"/>
    <s v="AMZN"/>
    <x v="1"/>
    <n v="1893.63"/>
    <n v="1935.2"/>
    <n v="1672"/>
    <n v="6.6791732157041789E-2"/>
    <n v="6.8930183208215035E-2"/>
    <n v="1.8314389855391688E-3"/>
    <n v="6.496029317150262E-2"/>
    <n v="6.7098744222675866E-2"/>
  </r>
  <r>
    <x v="6"/>
    <s v="AMZN"/>
    <x v="1"/>
    <n v="1866.78"/>
    <n v="2035.8"/>
    <n v="1849.44"/>
    <n v="-1.417911630043891E-2"/>
    <n v="1.312819536603934E-2"/>
    <n v="1.7742500619855051E-3"/>
    <n v="-1.5953366362424413E-2"/>
    <n v="1.1353945304053835E-2"/>
  </r>
  <r>
    <x v="7"/>
    <s v="AMZN"/>
    <x v="1"/>
    <n v="1776.29"/>
    <n v="1897.92"/>
    <n v="1743.51"/>
    <n v="-4.8473842659552818E-2"/>
    <n v="-1.8091652742267789E-2"/>
    <n v="1.7088472872288651E-3"/>
    <n v="-5.0182689946781683E-2"/>
    <n v="-1.9800500029496654E-2"/>
  </r>
  <r>
    <x v="8"/>
    <s v="AMZN"/>
    <x v="1"/>
    <n v="1735.91"/>
    <n v="1853.66"/>
    <n v="1709.22"/>
    <n v="-2.2732774490651798E-2"/>
    <n v="1.7181167690656883E-2"/>
    <n v="1.6433975062259965E-3"/>
    <n v="-2.4376171996877794E-2"/>
    <n v="1.5537770184430887E-2"/>
  </r>
  <r>
    <x v="9"/>
    <s v="AMZN"/>
    <x v="1"/>
    <n v="1776.66"/>
    <n v="1798.85"/>
    <n v="1685.06"/>
    <n v="2.3474719311485041E-2"/>
    <n v="2.0431747482144953E-2"/>
    <n v="1.4303602255574255E-3"/>
    <n v="2.2044359085927615E-2"/>
    <n v="1.9001387256587527E-2"/>
  </r>
  <r>
    <x v="10"/>
    <s v="AMZN"/>
    <x v="1"/>
    <n v="1800.8"/>
    <n v="1824.69"/>
    <n v="1722.71"/>
    <n v="1.3587293010480268E-2"/>
    <n v="3.4047064090915104E-2"/>
    <n v="1.3072269593599195E-3"/>
    <n v="1.2280066051120348E-2"/>
    <n v="3.2739837131555184E-2"/>
  </r>
  <r>
    <x v="11"/>
    <s v="AMZN"/>
    <x v="1"/>
    <n v="1847.84"/>
    <n v="1901.4"/>
    <n v="1735"/>
    <n v="2.6121723678365152E-2"/>
    <n v="2.8589803182446302E-2"/>
    <n v="1.2825803067024744E-3"/>
    <n v="2.4839143371662677E-2"/>
    <n v="2.7307222875743827E-2"/>
  </r>
  <r>
    <x v="12"/>
    <s v="AMZN"/>
    <x v="1"/>
    <n v="2008.72"/>
    <n v="2055.7199999999998"/>
    <n v="1815.34"/>
    <n v="8.706381504892205E-2"/>
    <n v="-1.6280898111292685E-3"/>
    <n v="1.2661454966749197E-3"/>
    <n v="8.579766955224713E-2"/>
    <n v="-2.8942353078041882E-3"/>
  </r>
  <r>
    <x v="13"/>
    <s v="AMZN"/>
    <x v="1"/>
    <n v="1883.75"/>
    <n v="2185.9499999999998"/>
    <n v="1811.1289999999999"/>
    <n v="-6.2213748058465107E-2"/>
    <n v="-8.4110469009648109E-2"/>
    <n v="1.3072269593599195E-3"/>
    <n v="-6.3520975017825027E-2"/>
    <n v="-8.5417695969008028E-2"/>
  </r>
  <r>
    <x v="14"/>
    <s v="AMZN"/>
    <x v="1"/>
    <n v="1949.72"/>
    <n v="1996.33"/>
    <n v="1626.0318"/>
    <n v="3.5020570670205718E-2"/>
    <n v="-0.12511932083595659"/>
    <n v="3.0781168409865778E-4"/>
    <n v="3.471275898610706E-2"/>
    <n v="-0.12542713252005525"/>
  </r>
  <r>
    <x v="15"/>
    <s v="AMZN"/>
    <x v="1"/>
    <n v="2474"/>
    <n v="2475"/>
    <n v="1889.15"/>
    <n v="0.26890014976509446"/>
    <n v="0.12684410293315368"/>
    <n v="9.1620483841925449E-5"/>
    <n v="0.26880852928125254"/>
    <n v="0.12675248244931175"/>
  </r>
  <r>
    <x v="16"/>
    <s v="AMZN"/>
    <x v="1"/>
    <n v="2442.37"/>
    <n v="2525.4499999999998"/>
    <n v="2256.38"/>
    <n v="-1.2784963621665363E-2"/>
    <n v="4.5281775012618368E-2"/>
    <n v="8.3295163273211514E-5"/>
    <n v="-1.2868258784938575E-2"/>
    <n v="4.5198479849345156E-2"/>
  </r>
  <r>
    <x v="17"/>
    <s v="AMZN"/>
    <x v="1"/>
    <n v="2758.82"/>
    <n v="2796"/>
    <n v="2437.13"/>
    <n v="0.12956677325712332"/>
    <n v="1.838840328350267E-2"/>
    <n v="1.0826883828274347E-4"/>
    <n v="0.12945850441884058"/>
    <n v="1.8280134445219927E-2"/>
  </r>
  <r>
    <x v="18"/>
    <s v="AMZN"/>
    <x v="1"/>
    <n v="3164.68"/>
    <n v="3344.29"/>
    <n v="2754"/>
    <n v="0.14711362104087966"/>
    <n v="5.5101296975444213E-2"/>
    <n v="9.1620483841925449E-5"/>
    <n v="0.14702200055703774"/>
    <n v="5.5009676491602287E-2"/>
  </r>
  <r>
    <x v="19"/>
    <s v="AMZN"/>
    <x v="1"/>
    <n v="3450.96"/>
    <n v="3495"/>
    <n v="3073"/>
    <n v="9.0460962877763382E-2"/>
    <n v="7.0064687324219249E-2"/>
    <n v="6.6642234708869097E-5"/>
    <n v="9.0394320643054513E-2"/>
    <n v="6.999804508951038E-2"/>
  </r>
  <r>
    <x v="20"/>
    <s v="AMZN"/>
    <x v="1"/>
    <n v="3148.73"/>
    <n v="3552.25"/>
    <n v="2871"/>
    <n v="-8.7578528873125158E-2"/>
    <n v="-3.9227954095494386E-2"/>
    <n v="7.4969080277487166E-5"/>
    <n v="-8.7653497953402645E-2"/>
    <n v="-3.9302923175771873E-2"/>
  </r>
  <r>
    <x v="21"/>
    <s v="AMZN"/>
    <x v="1"/>
    <n v="3036.15"/>
    <n v="3496.24"/>
    <n v="3019"/>
    <n v="-3.5754097683828062E-2"/>
    <n v="-2.766577460600653E-2"/>
    <n v="7.4969080277487166E-5"/>
    <n v="-3.5829066764105549E-2"/>
    <n v="-2.7740743686284017E-2"/>
  </r>
  <r>
    <x v="22"/>
    <s v="AMZN"/>
    <x v="1"/>
    <n v="3168.04"/>
    <n v="3366.8"/>
    <n v="2950.12"/>
    <n v="4.3439882746241082E-2"/>
    <n v="0.10754565805086302"/>
    <n v="7.4969080277487166E-5"/>
    <n v="4.3364913665963595E-2"/>
    <n v="0.10747068897058554"/>
  </r>
  <r>
    <x v="23"/>
    <s v="AMZN"/>
    <x v="1"/>
    <n v="3256.93"/>
    <n v="3350.65"/>
    <n v="3072.82"/>
    <n v="2.8058357849017019E-2"/>
    <n v="3.7121406659432372E-2"/>
    <n v="6.6642234708869097E-5"/>
    <n v="2.799171561430815E-2"/>
    <n v="3.7054764424723503E-2"/>
  </r>
  <r>
    <x v="24"/>
    <s v="AMZN"/>
    <x v="1"/>
    <n v="3206.2"/>
    <n v="3363.89"/>
    <n v="3086"/>
    <n v="-1.5576017906433365E-2"/>
    <n v="-1.1136640158463601E-2"/>
    <n v="6.6642234708869097E-5"/>
    <n v="-1.5642660141142233E-2"/>
    <n v="-1.120328239317247E-2"/>
  </r>
  <r>
    <x v="25"/>
    <s v="AMZN"/>
    <x v="1"/>
    <n v="3092.93"/>
    <n v="3434"/>
    <n v="3036.7"/>
    <n v="-3.5328426174287317E-2"/>
    <n v="2.6091474971999741E-2"/>
    <n v="3.3327223783574667E-5"/>
    <n v="-3.5361753398070891E-2"/>
    <n v="2.6058147748216166E-2"/>
  </r>
  <r>
    <x v="26"/>
    <s v="AMZN"/>
    <x v="1"/>
    <n v="3094.08"/>
    <n v="3182"/>
    <n v="2881.0001000000002"/>
    <n v="3.7181572166201335E-4"/>
    <n v="4.2438634008107733E-2"/>
    <n v="1.6665139084048874E-5"/>
    <n v="3.5515058257796448E-4"/>
    <n v="4.2421968869023684E-2"/>
  </r>
  <r>
    <x v="27"/>
    <s v="AMZN"/>
    <x v="1"/>
    <n v="3467.42"/>
    <n v="3554"/>
    <n v="3115.55"/>
    <n v="0.12066268486916956"/>
    <n v="5.2425312555847307E-2"/>
    <n v="1.6665139084048874E-5"/>
    <n v="0.12064601973008551"/>
    <n v="5.2408647416763258E-2"/>
  </r>
  <r>
    <x v="28"/>
    <s v="AMZN"/>
    <x v="1"/>
    <n v="3223.07"/>
    <n v="3486.645"/>
    <n v="3127.37"/>
    <n v="-7.0470263192806151E-2"/>
    <n v="5.4865025818131288E-3"/>
    <n v="8.3329514133367866E-6"/>
    <n v="-7.0478596144219488E-2"/>
    <n v="5.478169630399792E-3"/>
  </r>
  <r>
    <x v="29"/>
    <s v="AMZN"/>
    <x v="1"/>
    <n v="3440.16"/>
    <n v="3524.8598999999999"/>
    <n v="3172.2"/>
    <n v="6.7355037278122934E-2"/>
    <n v="2.221397632316955E-2"/>
    <n v="2.4996563158685703E-5"/>
    <n v="6.7330040714964248E-2"/>
    <n v="2.2188979760010864E-2"/>
  </r>
  <r>
    <x v="30"/>
    <s v="AMZN"/>
    <x v="1"/>
    <n v="3327.59"/>
    <n v="3773.0781999999999"/>
    <n v="3306.98"/>
    <n v="-3.2722315241151489E-2"/>
    <n v="2.2748109365910464E-2"/>
    <n v="4.1657121104599071E-5"/>
    <n v="-3.2763972362256089E-2"/>
    <n v="2.2706452244805865E-2"/>
  </r>
  <r>
    <x v="31"/>
    <s v="AMZN"/>
    <x v="1"/>
    <n v="3470.79"/>
    <n v="3472.58"/>
    <n v="3175.76"/>
    <n v="4.3034147836722617E-2"/>
    <n v="2.8990321391681052E-2"/>
    <n v="3.3327223783574667E-5"/>
    <n v="4.3000820612939042E-2"/>
    <n v="2.8956994167897477E-2"/>
  </r>
  <r>
    <x v="32"/>
    <s v="AMZN"/>
    <x v="1"/>
    <n v="3285.04"/>
    <n v="3549.99"/>
    <n v="3273.99"/>
    <n v="-5.3518075135631948E-2"/>
    <n v="-4.7569140421166278E-2"/>
    <n v="4.1657121104599071E-5"/>
    <n v="-5.3559732256736547E-2"/>
    <n v="-4.7610797542270877E-2"/>
  </r>
  <r>
    <x v="33"/>
    <s v="AMZN"/>
    <x v="1"/>
    <n v="3372.43"/>
    <n v="3479"/>
    <n v="3176.25"/>
    <n v="2.6602415800111984E-2"/>
    <n v="6.9143873301234615E-2"/>
    <n v="4.99862552685304E-5"/>
    <n v="2.6552429544843454E-2"/>
    <n v="6.9093887045966085E-2"/>
  </r>
  <r>
    <x v="34"/>
    <s v="AMZN"/>
    <x v="1"/>
    <n v="3507.07"/>
    <n v="3762.145"/>
    <n v="3283.55"/>
    <n v="3.9923734517840349E-2"/>
    <n v="-8.3337314184714628E-3"/>
    <n v="5.8314626421251958E-5"/>
    <n v="3.9865419891419097E-2"/>
    <n v="-8.3920460448927148E-3"/>
  </r>
  <r>
    <x v="35"/>
    <s v="AMZN"/>
    <x v="1"/>
    <n v="3334.34"/>
    <n v="3559.88"/>
    <n v="3303.9"/>
    <n v="-4.9251939653328851E-2"/>
    <n v="4.3612874972629799E-2"/>
    <n v="3.3327223783574667E-5"/>
    <n v="-4.9285266877112426E-2"/>
    <n v="4.3579547748846224E-2"/>
  </r>
  <r>
    <x v="36"/>
    <s v="AMZN"/>
    <x v="1"/>
    <n v="2991.47"/>
    <n v="3428"/>
    <n v="2707.04"/>
    <n v="-0.10282994535650243"/>
    <n v="-5.2585089106999758E-2"/>
    <n v="4.1657121104599071E-5"/>
    <n v="-0.10287160247760703"/>
    <n v="-5.2626746228104357E-2"/>
  </r>
  <r>
    <x v="37"/>
    <s v="AMZN"/>
    <x v="1"/>
    <n v="3071.26"/>
    <n v="3276.69"/>
    <n v="2766.66"/>
    <n v="2.6672505490611779E-2"/>
    <n v="-3.136052086678269E-2"/>
    <n v="3.3327223783574667E-5"/>
    <n v="2.6639178266828205E-2"/>
    <n v="-3.1393848090566265E-2"/>
  </r>
  <r>
    <x v="38"/>
    <s v="AMZN"/>
    <x v="1"/>
    <n v="3259.95"/>
    <n v="3416.63"/>
    <n v="2671.45"/>
    <n v="6.1437325397393772E-2"/>
    <n v="3.5773238773279988E-2"/>
    <n v="1.4987639212593606E-4"/>
    <n v="6.1287449005267836E-2"/>
    <n v="3.5623362381154051E-2"/>
  </r>
  <r>
    <x v="39"/>
    <s v="AMZN"/>
    <x v="1"/>
    <n v="2485.63"/>
    <n v="3367.89"/>
    <n v="2432.5"/>
    <n v="-0.23752511541588053"/>
    <n v="-8.7956719149039395E-2"/>
    <n v="2.5796701004310307E-4"/>
    <n v="-0.23778308242592364"/>
    <n v="-8.8214686159082498E-2"/>
  </r>
  <r>
    <x v="40"/>
    <s v="AMZN"/>
    <x v="1"/>
    <n v="2404.19"/>
    <n v="2524.41"/>
    <n v="2025.2"/>
    <n v="-3.2764329365191136E-2"/>
    <n v="5.3243883608711947E-5"/>
    <n v="4.8205321330185846E-4"/>
    <n v="-3.3246382578492994E-2"/>
    <n v="-4.2880932969314653E-4"/>
  </r>
  <r>
    <x v="41"/>
    <s v="AMZN"/>
    <x v="1"/>
    <n v="2124.1999999999998"/>
    <n v="128.99"/>
    <n v="101.43"/>
    <n v="-0.11645918167865278"/>
    <n v="-8.391999322386641E-2"/>
    <n v="8.7907064595027506E-4"/>
    <n v="-0.11733825232460306"/>
    <n v="-8.4799063869816685E-2"/>
  </r>
  <r>
    <x v="42"/>
    <s v="AMZN"/>
    <x v="1"/>
    <n v="2699"/>
    <n v="137.65"/>
    <n v="105.84690000000001"/>
    <n v="0.27059598907824134"/>
    <n v="9.1116347632205968E-2"/>
    <n v="1.5287470679612447E-3"/>
    <n v="0.26906724201028009"/>
    <n v="8.9587600564244724E-2"/>
  </r>
  <r>
    <x v="43"/>
    <s v="AMZN"/>
    <x v="1"/>
    <n v="2535.4"/>
    <n v="146.57"/>
    <n v="126.74"/>
    <n v="-6.0615042608373436E-2"/>
    <n v="-4.2440119216810436E-2"/>
    <n v="1.8804294971668245E-3"/>
    <n v="-6.249547210554026E-2"/>
    <n v="-4.4320548713977261E-2"/>
  </r>
  <r>
    <x v="44"/>
    <s v="AMZN"/>
    <x v="1"/>
    <n v="2260"/>
    <n v="136.49"/>
    <n v="112.06"/>
    <n v="-0.10862191370198"/>
    <n v="-9.3395701643489287E-2"/>
    <n v="2.1494073283745418E-3"/>
    <n v="-0.11077132103035454"/>
    <n v="-9.5545108971863829E-2"/>
  </r>
  <r>
    <x v="45"/>
    <s v="AMZN"/>
    <x v="1"/>
    <n v="2048.8000000000002"/>
    <n v="123"/>
    <n v="97.66"/>
    <n v="-9.3451327433628231E-2"/>
    <n v="7.9863454576893297E-2"/>
    <n v="2.7254391280759904E-3"/>
    <n v="-9.6176766561704222E-2"/>
    <n v="7.7138015448817307E-2"/>
  </r>
  <r>
    <x v="46"/>
    <s v="AMZN"/>
    <x v="1"/>
    <n v="1930.8000000000002"/>
    <n v="104.58"/>
    <n v="85.87"/>
    <n v="-5.7594689574385002E-2"/>
    <n v="5.375286029369989E-2"/>
    <n v="3.1691721789193217E-3"/>
    <n v="-6.0763861753304324E-2"/>
    <n v="5.0583688114780569E-2"/>
  </r>
  <r>
    <x v="47"/>
    <s v="AMZN"/>
    <x v="1"/>
    <n v="1680"/>
    <n v="97.23"/>
    <n v="81.69"/>
    <n v="-0.12989434431323812"/>
    <n v="-5.897144929916108E-2"/>
    <n v="3.1933138078821255E-3"/>
    <n v="-0.13308765812112025"/>
    <n v="-6.2164763107043206E-2"/>
  </r>
  <r>
    <x v="48"/>
    <s v="AMZN"/>
    <x v="1"/>
    <n v="2062.6"/>
    <n v="103.485"/>
    <n v="81.430000000000007"/>
    <n v="0.22773809523809518"/>
    <n v="6.1752832400052068E-2"/>
    <n v="3.690815569153072E-3"/>
    <n v="0.22404727966894211"/>
    <n v="5.8062016830898996E-2"/>
  </r>
  <r>
    <x v="49"/>
    <s v="AMZN"/>
    <x v="1"/>
    <n v="1884.6000000000001"/>
    <n v="114"/>
    <n v="92.318600000000004"/>
    <n v="-8.6298846116551822E-2"/>
    <n v="-2.6112446646715356E-2"/>
    <n v="3.7867936638156241E-3"/>
    <n v="-9.0085639780367446E-2"/>
    <n v="-2.989924031053098E-2"/>
  </r>
  <r>
    <x v="50"/>
    <s v="AMZN"/>
    <x v="1"/>
    <n v="2065.8000000000002"/>
    <n v="103.49"/>
    <n v="88.12"/>
    <n v="9.6147723654886996E-2"/>
    <n v="3.5051572358727079E-2"/>
    <n v="3.6668052630131065E-3"/>
    <n v="9.248091839187389E-2"/>
    <n v="3.1384767095713972E-2"/>
  </r>
  <r>
    <x v="51"/>
    <s v="AMZN"/>
    <x v="1"/>
    <n v="2109"/>
    <n v="110.86"/>
    <n v="97.704999999999998"/>
    <n v="2.0911995352889831E-2"/>
    <n v="1.4642360882970416E-2"/>
    <n v="3.4103013914235092E-3"/>
    <n v="1.7501693961466322E-2"/>
    <n v="1.1232059491546906E-2"/>
  </r>
  <r>
    <x v="52"/>
    <s v="AMZN"/>
    <x v="1"/>
    <n v="2411.6"/>
    <n v="122.92"/>
    <n v="101.15"/>
    <n v="0.14348032242769079"/>
    <n v="2.4823239348792572E-3"/>
    <n v="4.463764356697375E-3"/>
    <n v="0.13901655807099342"/>
    <n v="-1.9814404218181179E-3"/>
  </r>
  <r>
    <x v="53"/>
    <s v="AMZN"/>
    <x v="1"/>
    <n v="2607.2000000000003"/>
    <n v="131.49"/>
    <n v="119.93"/>
    <n v="8.1107978105822015E-2"/>
    <n v="6.4727512841431398E-2"/>
    <n v="4.2333616592649115E-3"/>
    <n v="7.6874616446557104E-2"/>
    <n v="6.0494151182166486E-2"/>
  </r>
  <r>
    <x v="54"/>
    <s v="AMZN"/>
    <x v="1"/>
    <n v="2673.6000000000004"/>
    <n v="136.65"/>
    <n v="125.91500000000001"/>
    <n v="2.5467934949371007E-2"/>
    <n v="3.1138913980379185E-2"/>
    <n v="4.3843808093919634E-3"/>
    <n v="2.1083554139979043E-2"/>
    <n v="2.6754533170987221E-2"/>
  </r>
  <r>
    <x v="55"/>
    <s v="AMZN"/>
    <x v="1"/>
    <n v="2760.2"/>
    <n v="143.63"/>
    <n v="126.41"/>
    <n v="3.2390783961699372E-2"/>
    <n v="-1.7716432481433741E-2"/>
    <n v="4.5034302658089054E-3"/>
    <n v="2.7887353695890467E-2"/>
    <n v="-2.2219862747242646E-2"/>
  </r>
  <r>
    <x v="56"/>
    <s v="AMZN"/>
    <x v="1"/>
    <n v="2542.4"/>
    <n v="145.86000000000001"/>
    <n v="123.04"/>
    <n v="-7.8907325556119026E-2"/>
    <n v="-4.8719291162155016E-2"/>
    <n v="4.4954984622596061E-3"/>
    <n v="-8.3402824018378632E-2"/>
    <n v="-5.3214789624414623E-2"/>
  </r>
  <r>
    <x v="57"/>
    <s v="AMZN"/>
    <x v="1"/>
    <n v="2661.8"/>
    <n v="134.47999999999999"/>
    <n v="118.35"/>
    <n v="4.6963499056010105E-2"/>
    <n v="-2.1979687736850082E-2"/>
    <n v="4.5272215436409358E-3"/>
    <n v="4.2436277512369169E-2"/>
    <n v="-2.6506909280491018E-2"/>
  </r>
  <r>
    <x v="58"/>
    <s v="AMZN"/>
    <x v="1"/>
    <n v="2921.8"/>
    <n v="149.26"/>
    <n v="133.71"/>
    <n v="9.7678262829664131E-2"/>
    <n v="8.9179264628737653E-2"/>
    <n v="4.4954984622596061E-3"/>
    <n v="9.3182764367404525E-2"/>
    <n v="8.4683766166478047E-2"/>
  </r>
  <r>
    <x v="59"/>
    <s v="AMZN"/>
    <x v="1"/>
    <n v="3038.8"/>
    <n v="155.63"/>
    <n v="142.81"/>
    <n v="4.0043808611130126E-2"/>
    <n v="4.4229169403213746E-2"/>
    <n v="4.5034302658089054E-3"/>
    <n v="3.554037834532122E-2"/>
    <n v="3.972573913740484E-2"/>
  </r>
  <r>
    <x v="60"/>
    <s v="AMZN"/>
    <x v="1"/>
    <n v="3104"/>
    <n v="161.72999999999999"/>
    <n v="144.05000000000001"/>
    <n v="2.1455837830722593E-2"/>
    <n v="1.5895744712075631E-2"/>
    <n v="4.5034302658089054E-3"/>
    <n v="1.6952407564913688E-2"/>
    <n v="1.1392314446266726E-2"/>
  </r>
  <r>
    <x v="61"/>
    <s v="AMZN"/>
    <x v="1"/>
    <n v="3535.2"/>
    <n v="177.22"/>
    <n v="155.62"/>
    <n v="0.13891752577319583"/>
    <n v="5.1720615397315289E-2"/>
    <n v="4.463764356697375E-3"/>
    <n v="0.13445376141649845"/>
    <n v="4.7256851040617914E-2"/>
  </r>
  <r>
    <x v="62"/>
    <s v="AMZN"/>
    <x v="1"/>
    <n v="3607.6"/>
    <n v="181.7"/>
    <n v="171.47"/>
    <n v="2.0479746548993011E-2"/>
    <n v="3.1018764704381814E-2"/>
    <n v="4.4796327880016751E-3"/>
    <n v="1.6000113760991336E-2"/>
    <n v="2.6539131916380139E-2"/>
  </r>
  <r>
    <x v="63"/>
    <s v="AMZN"/>
    <x v="1"/>
    <n v="3500"/>
    <n v="189.77"/>
    <n v="166.32"/>
    <n v="-2.9825923051336044E-2"/>
    <n v="-4.1615042774082567E-2"/>
    <n v="4.455829106839726E-3"/>
    <n v="-3.428175215817577E-2"/>
    <n v="-4.6070871880922293E-2"/>
  </r>
  <r>
    <x v="64"/>
    <s v="AMZN"/>
    <x v="1"/>
    <n v="3528.8"/>
    <n v="191.7"/>
    <n v="173.87"/>
    <n v="8.2285714285714809E-3"/>
    <n v="4.8021224499522536E-2"/>
    <n v="4.471698917043021E-3"/>
    <n v="3.7568725115284599E-3"/>
    <n v="4.3549525582479515E-2"/>
  </r>
  <r>
    <x v="65"/>
    <s v="AMZN"/>
    <x v="1"/>
    <n v="3865"/>
    <n v="199.84"/>
    <n v="175.92"/>
    <n v="9.5273180684651945E-2"/>
    <n v="3.4669759034089816E-2"/>
    <n v="4.439956538087042E-3"/>
    <n v="9.0833224146564903E-2"/>
    <n v="3.0229802496002774E-2"/>
  </r>
  <r>
    <x v="66"/>
    <s v="AMZN"/>
    <x v="1"/>
    <n v="3739.6"/>
    <n v="201.2"/>
    <n v="176.8"/>
    <n v="-3.2445019404915933E-2"/>
    <n v="1.1321349038912444E-2"/>
    <n v="4.455829106839726E-3"/>
    <n v="-3.6900848511755659E-2"/>
    <n v="6.8655199320727181E-3"/>
  </r>
  <r>
    <x v="67"/>
    <s v="AMZN"/>
    <x v="1"/>
    <n v="3570"/>
    <n v="190.6"/>
    <n v="151.61000000000001"/>
    <n v="-4.5352444111669672E-2"/>
    <n v="2.2834688445031861E-2"/>
    <n v="4.471698917043021E-3"/>
    <n v="-4.9824143028712693E-2"/>
    <n v="1.836298952798884E-2"/>
  </r>
  <r>
    <x v="68"/>
    <s v="AMZN"/>
    <x v="1"/>
    <n v="3726.6000000000004"/>
    <n v="195.37"/>
    <n v="171.16"/>
    <n v="4.3865546218487497E-2"/>
    <n v="2.0196869910063014E-2"/>
    <n v="4.1219243192651689E-3"/>
    <n v="3.9743621899222328E-2"/>
    <n v="1.6074945590797845E-2"/>
  </r>
  <r>
    <x v="69"/>
    <s v="AMZN"/>
    <x v="1"/>
    <n v="3728"/>
    <n v="195.61"/>
    <n v="180.25"/>
    <n v="3.7567756131584714E-4"/>
    <n v="-9.896780552817494E-3"/>
    <n v="4.0103507726252374E-3"/>
    <n v="-3.6346732113093903E-3"/>
    <n v="-1.3907131325442731E-2"/>
  </r>
  <r>
    <x v="70"/>
    <s v="AMZN"/>
    <x v="1"/>
    <n v="4157.7999999999993"/>
    <n v="215.9"/>
    <n v="194.31010000000001"/>
    <n v="0.11528969957081525"/>
    <n v="5.7301352215863834E-2"/>
    <n v="3.8427343023630378E-3"/>
    <n v="0.11144696526845221"/>
    <n v="5.3458617913500796E-2"/>
  </r>
  <r>
    <x v="71"/>
    <s v="AMZN"/>
    <x v="1"/>
    <n v="4387.7999999999993"/>
    <n v="233"/>
    <n v="209.51009999999999"/>
    <n v="5.5317716099860512E-2"/>
    <n v="-2.4990136563014929E-2"/>
    <n v="3.6748094004368514E-3"/>
    <n v="5.164290669942366E-2"/>
    <n v="-2.8664945963451781E-2"/>
  </r>
  <r>
    <x v="0"/>
    <s v="GE"/>
    <x v="2"/>
    <n v="10.16"/>
    <n v="10.77"/>
    <n v="7.41"/>
    <m/>
    <n v="0"/>
    <n v="1.9783315388433032E-3"/>
    <n v="-1.9783315388433032E-3"/>
    <n v="-1.9783315388433032E-3"/>
  </r>
  <r>
    <x v="1"/>
    <s v="GE"/>
    <x v="2"/>
    <n v="10.39"/>
    <n v="11.75"/>
    <n v="9.5399999999999991"/>
    <n v="2.2637795275590594E-2"/>
    <n v="2.9728930143115964E-2"/>
    <n v="2.0027906163269105E-3"/>
    <n v="2.0635004659263684E-2"/>
    <n v="2.7726139526789054E-2"/>
  </r>
  <r>
    <x v="2"/>
    <s v="GE"/>
    <x v="2"/>
    <n v="9.99"/>
    <n v="10.57"/>
    <n v="9.0500000000000007"/>
    <n v="-3.8498556304138627E-2"/>
    <n v="1.7924287751078408E-2"/>
    <n v="2.0190930200914003E-3"/>
    <n v="-4.0517649324230028E-2"/>
    <n v="1.5905194730987008E-2"/>
  </r>
  <r>
    <x v="3"/>
    <s v="GE"/>
    <x v="2"/>
    <n v="10.17"/>
    <n v="10.53"/>
    <n v="8.7899999999999991"/>
    <n v="1.801801801801799E-2"/>
    <n v="3.9313434942139368E-2"/>
    <n v="2.0027906163269105E-3"/>
    <n v="1.601522740169108E-2"/>
    <n v="3.7310644325812457E-2"/>
  </r>
  <r>
    <x v="4"/>
    <s v="GE"/>
    <x v="2"/>
    <n v="9.44"/>
    <n v="10.5"/>
    <n v="9.15"/>
    <n v="-7.1779744346116073E-2"/>
    <n v="-6.5777726481161508E-2"/>
    <n v="1.9783315388433032E-3"/>
    <n v="-7.3758075884959376E-2"/>
    <n v="-6.7756058020004811E-2"/>
  </r>
  <r>
    <x v="5"/>
    <s v="GE"/>
    <x v="2"/>
    <n v="10.5"/>
    <n v="10.71"/>
    <n v="9.25"/>
    <n v="0.1122881355932204"/>
    <n v="6.8930183208215035E-2"/>
    <n v="1.8314389855391688E-3"/>
    <n v="0.11045669660768123"/>
    <n v="6.7098744222675866E-2"/>
  </r>
  <r>
    <x v="6"/>
    <s v="GE"/>
    <x v="2"/>
    <n v="10.45"/>
    <n v="10.79"/>
    <n v="9.9600000000000009"/>
    <n v="-4.76190476190483E-3"/>
    <n v="1.312819536603934E-2"/>
    <n v="1.7742500619855051E-3"/>
    <n v="-6.536154823890335E-3"/>
    <n v="1.1353945304053835E-2"/>
  </r>
  <r>
    <x v="7"/>
    <s v="GE"/>
    <x v="2"/>
    <n v="8.25"/>
    <n v="10.484999999999999"/>
    <n v="7.65"/>
    <n v="-0.21052631578947362"/>
    <n v="-1.8091652742267789E-2"/>
    <n v="1.7088472872288651E-3"/>
    <n v="-0.21223516307670248"/>
    <n v="-1.9800500029496654E-2"/>
  </r>
  <r>
    <x v="8"/>
    <s v="GE"/>
    <x v="2"/>
    <n v="8.94"/>
    <n v="9.5399999999999991"/>
    <n v="8.08"/>
    <n v="8.3636363636363578E-2"/>
    <n v="1.7181167690656883E-2"/>
    <n v="1.6433975062259965E-3"/>
    <n v="8.1992966130137582E-2"/>
    <n v="1.5537770184430887E-2"/>
  </r>
  <r>
    <x v="9"/>
    <s v="GE"/>
    <x v="2"/>
    <n v="9.98"/>
    <n v="10.37"/>
    <n v="8.24"/>
    <n v="0.11633109619686811"/>
    <n v="2.0431747482144953E-2"/>
    <n v="1.4303602255574255E-3"/>
    <n v="0.11490073597131069"/>
    <n v="1.9001387256587527E-2"/>
  </r>
  <r>
    <x v="10"/>
    <s v="GE"/>
    <x v="2"/>
    <n v="11.27"/>
    <n v="11.84"/>
    <n v="10.06"/>
    <n v="0.12925851703406804"/>
    <n v="3.4047064090915104E-2"/>
    <n v="1.3072269593599195E-3"/>
    <n v="0.12795129007470812"/>
    <n v="3.2739837131555184E-2"/>
  </r>
  <r>
    <x v="11"/>
    <s v="GE"/>
    <x v="2"/>
    <n v="11.16"/>
    <n v="11.6"/>
    <n v="10.76"/>
    <n v="-9.7604259094941827E-3"/>
    <n v="2.8589803182446302E-2"/>
    <n v="1.2825803067024744E-3"/>
    <n v="-1.1043006216196657E-2"/>
    <n v="2.7307222875743827E-2"/>
  </r>
  <r>
    <x v="12"/>
    <s v="GE"/>
    <x v="2"/>
    <n v="12.45"/>
    <n v="13"/>
    <n v="11.23"/>
    <n v="0.11559139784946229"/>
    <n v="-1.6280898111292685E-3"/>
    <n v="1.2661454966749197E-3"/>
    <n v="0.11432525235278737"/>
    <n v="-2.8942353078041882E-3"/>
  </r>
  <r>
    <x v="13"/>
    <s v="GE"/>
    <x v="2"/>
    <n v="10.88"/>
    <n v="13.26"/>
    <n v="9.86"/>
    <n v="-0.12610441767068262"/>
    <n v="-8.4110469009648109E-2"/>
    <n v="1.3072269593599195E-3"/>
    <n v="-0.12741164463004254"/>
    <n v="-8.5417695969008028E-2"/>
  </r>
  <r>
    <x v="14"/>
    <s v="GE"/>
    <x v="2"/>
    <n v="7.94"/>
    <n v="11.38"/>
    <n v="5.9"/>
    <n v="-0.27022058823529416"/>
    <n v="-0.12511932083595659"/>
    <n v="3.0781168409865778E-4"/>
    <n v="-0.27052839991939281"/>
    <n v="-0.12542713252005525"/>
  </r>
  <r>
    <x v="15"/>
    <s v="GE"/>
    <x v="2"/>
    <n v="6.8"/>
    <n v="7.75"/>
    <n v="6.2"/>
    <n v="-0.14357682619647361"/>
    <n v="0.12684410293315368"/>
    <n v="9.1620483841925449E-5"/>
    <n v="-0.14366844668031553"/>
    <n v="0.12675248244931175"/>
  </r>
  <r>
    <x v="16"/>
    <s v="GE"/>
    <x v="2"/>
    <n v="6.57"/>
    <n v="7.49"/>
    <n v="5.48"/>
    <n v="-3.3823529411764641E-2"/>
    <n v="4.5281775012618368E-2"/>
    <n v="8.3295163273211514E-5"/>
    <n v="-3.3906824575037853E-2"/>
    <n v="4.5198479849345156E-2"/>
  </r>
  <r>
    <x v="17"/>
    <s v="GE"/>
    <x v="2"/>
    <n v="6.83"/>
    <n v="8.57"/>
    <n v="6.42"/>
    <n v="3.9573820395738167E-2"/>
    <n v="1.838840328350267E-2"/>
    <n v="1.0826883828274347E-4"/>
    <n v="3.9465551557455424E-2"/>
    <n v="1.8280134445219927E-2"/>
  </r>
  <r>
    <x v="18"/>
    <s v="GE"/>
    <x v="2"/>
    <n v="6.07"/>
    <n v="7.21"/>
    <n v="6"/>
    <n v="-0.11127379209370421"/>
    <n v="5.5101296975444213E-2"/>
    <n v="9.1620483841925449E-5"/>
    <n v="-0.11136541257754613"/>
    <n v="5.5009676491602287E-2"/>
  </r>
  <r>
    <x v="19"/>
    <s v="GE"/>
    <x v="2"/>
    <n v="6.34"/>
    <n v="7"/>
    <n v="6.02"/>
    <n v="4.448105436573304E-2"/>
    <n v="7.0064687324219249E-2"/>
    <n v="6.6642234708869097E-5"/>
    <n v="4.4414412131024171E-2"/>
    <n v="6.999804508951038E-2"/>
  </r>
  <r>
    <x v="20"/>
    <s v="GE"/>
    <x v="2"/>
    <n v="6.23"/>
    <n v="7.18"/>
    <n v="5.93"/>
    <n v="-1.7350157728706534E-2"/>
    <n v="-3.9227954095494386E-2"/>
    <n v="7.4969080277487166E-5"/>
    <n v="-1.7425126808984021E-2"/>
    <n v="-3.9302923175771873E-2"/>
  </r>
  <r>
    <x v="21"/>
    <s v="GE"/>
    <x v="2"/>
    <n v="7.42"/>
    <n v="8.0299999999999994"/>
    <n v="6.05"/>
    <n v="0.19101123595505609"/>
    <n v="-2.766577460600653E-2"/>
    <n v="7.4969080277487166E-5"/>
    <n v="0.1909362668747786"/>
    <n v="-2.7740743686284017E-2"/>
  </r>
  <r>
    <x v="22"/>
    <s v="GE"/>
    <x v="2"/>
    <n v="10.18"/>
    <n v="10.85"/>
    <n v="7.33"/>
    <n v="0.3719676549865229"/>
    <n v="0.10754565805086302"/>
    <n v="7.4969080277487166E-5"/>
    <n v="0.37189268590624541"/>
    <n v="0.10747068897058554"/>
  </r>
  <r>
    <x v="23"/>
    <s v="GE"/>
    <x v="2"/>
    <n v="10.8"/>
    <n v="11.49"/>
    <n v="10.01"/>
    <n v="6.0903732809430358E-2"/>
    <n v="3.7121406659432372E-2"/>
    <n v="6.6642234708869097E-5"/>
    <n v="6.0837090574721489E-2"/>
    <n v="3.7054764424723503E-2"/>
  </r>
  <r>
    <x v="24"/>
    <s v="GE"/>
    <x v="2"/>
    <n v="10.68"/>
    <n v="12.23"/>
    <n v="10.4"/>
    <n v="-1.1111111111111202E-2"/>
    <n v="-1.1136640158463601E-2"/>
    <n v="6.6642234708869097E-5"/>
    <n v="-1.1177753345820071E-2"/>
    <n v="-1.120328239317247E-2"/>
  </r>
  <r>
    <x v="25"/>
    <s v="GE"/>
    <x v="2"/>
    <n v="12.54"/>
    <n v="13.35"/>
    <n v="10.64"/>
    <n v="0.17415730337078647"/>
    <n v="2.6091474971999741E-2"/>
    <n v="3.3327223783574667E-5"/>
    <n v="0.1741239761470029"/>
    <n v="2.6058147748216166E-2"/>
  </r>
  <r>
    <x v="26"/>
    <s v="GE"/>
    <x v="2"/>
    <n v="13.13"/>
    <n v="14.414999999999999"/>
    <n v="11.95"/>
    <n v="4.7049441786284028E-2"/>
    <n v="4.2438634008107733E-2"/>
    <n v="1.6665139084048874E-5"/>
    <n v="4.7032776647199979E-2"/>
    <n v="4.2421968869023684E-2"/>
  </r>
  <r>
    <x v="27"/>
    <s v="GE"/>
    <x v="2"/>
    <n v="13.12"/>
    <n v="14"/>
    <n v="12.77"/>
    <n v="-7.6161462300088068E-4"/>
    <n v="5.2425312555847307E-2"/>
    <n v="1.6665139084048874E-5"/>
    <n v="-7.7827976208492955E-4"/>
    <n v="5.2408647416763258E-2"/>
  </r>
  <r>
    <x v="28"/>
    <s v="GE"/>
    <x v="2"/>
    <n v="14.06"/>
    <n v="14.4"/>
    <n v="12.72"/>
    <n v="7.1646341463414739E-2"/>
    <n v="5.4865025818131288E-3"/>
    <n v="8.3329514133367866E-6"/>
    <n v="7.1638008512001403E-2"/>
    <n v="5.478169630399792E-3"/>
  </r>
  <r>
    <x v="29"/>
    <s v="GE"/>
    <x v="2"/>
    <n v="13.46"/>
    <n v="14.37"/>
    <n v="12.75"/>
    <n v="-4.2674253200568966E-2"/>
    <n v="2.221397632316955E-2"/>
    <n v="2.4996563158685703E-5"/>
    <n v="-4.2699249763727652E-2"/>
    <n v="2.2188979760010864E-2"/>
  </r>
  <r>
    <x v="30"/>
    <s v="GE"/>
    <x v="2"/>
    <n v="12.95"/>
    <n v="13.63"/>
    <n v="11.82"/>
    <n v="-3.7890044576523146E-2"/>
    <n v="2.2748109365910464E-2"/>
    <n v="4.1657121104599071E-5"/>
    <n v="-3.7931701697627745E-2"/>
    <n v="2.2706452244805865E-2"/>
  </r>
  <r>
    <x v="31"/>
    <s v="GE"/>
    <x v="2"/>
    <n v="13.17625"/>
    <n v="107.23"/>
    <n v="98.11"/>
    <n v="1.7471042471042492E-2"/>
    <n v="2.8990321391681052E-2"/>
    <n v="3.3327223783574667E-5"/>
    <n v="1.7437715247258918E-2"/>
    <n v="2.8956994167897477E-2"/>
  </r>
  <r>
    <x v="32"/>
    <s v="GE"/>
    <x v="2"/>
    <n v="12.87875"/>
    <n v="107.36"/>
    <n v="96.21"/>
    <n v="-2.2578502988331237E-2"/>
    <n v="-4.7569140421166278E-2"/>
    <n v="4.1657121104599071E-5"/>
    <n v="-2.2620160109435836E-2"/>
    <n v="-4.7610797542270877E-2"/>
  </r>
  <r>
    <x v="33"/>
    <s v="GE"/>
    <x v="2"/>
    <n v="13.108750000000001"/>
    <n v="110.97"/>
    <n v="101.18"/>
    <n v="1.7858876055517843E-2"/>
    <n v="6.9143873301234615E-2"/>
    <n v="4.99862552685304E-5"/>
    <n v="1.7808889800249313E-2"/>
    <n v="6.9093887045966085E-2"/>
  </r>
  <r>
    <x v="34"/>
    <s v="GE"/>
    <x v="2"/>
    <n v="11.873749999999999"/>
    <n v="116.16500000000001"/>
    <n v="94.47"/>
    <n v="-9.4211881376942974E-2"/>
    <n v="-8.3337314184714628E-3"/>
    <n v="5.8314626421251958E-5"/>
    <n v="-9.4270196003364226E-2"/>
    <n v="-8.3920460448927148E-3"/>
  </r>
  <r>
    <x v="35"/>
    <s v="GE"/>
    <x v="2"/>
    <n v="11.80875"/>
    <n v="98.94"/>
    <n v="88.17"/>
    <n v="-5.4742604484682182E-3"/>
    <n v="4.3612874972629799E-2"/>
    <n v="3.3327223783574667E-5"/>
    <n v="-5.5075876722517928E-3"/>
    <n v="4.3579547748846224E-2"/>
  </r>
  <r>
    <x v="36"/>
    <s v="GE"/>
    <x v="2"/>
    <n v="11.81"/>
    <n v="103.73"/>
    <n v="88.05"/>
    <n v="1.058537101725957E-4"/>
    <n v="-5.2585089106999758E-2"/>
    <n v="4.1657121104599071E-5"/>
    <n v="6.4196589067996632E-5"/>
    <n v="-5.2626746228104357E-2"/>
  </r>
  <r>
    <x v="37"/>
    <s v="GE"/>
    <x v="2"/>
    <n v="11.938750000000001"/>
    <n v="101.91"/>
    <n v="87.7"/>
    <n v="1.09017781541067E-2"/>
    <n v="-3.136052086678269E-2"/>
    <n v="3.3327223783574667E-5"/>
    <n v="1.0868450930323126E-2"/>
    <n v="-3.1393848090566265E-2"/>
  </r>
  <r>
    <x v="38"/>
    <s v="GE"/>
    <x v="2"/>
    <n v="11.4375"/>
    <n v="96.23"/>
    <n v="85.29"/>
    <n v="-4.1985132446864255E-2"/>
    <n v="3.5773238773279988E-2"/>
    <n v="1.4987639212593606E-4"/>
    <n v="-4.2135008838990191E-2"/>
    <n v="3.5623362381154051E-2"/>
  </r>
  <r>
    <x v="39"/>
    <s v="GE"/>
    <x v="2"/>
    <n v="9.3187499999999996"/>
    <n v="93.78"/>
    <n v="74.349999999999994"/>
    <n v="-0.18524590163934429"/>
    <n v="-8.7956719149039395E-2"/>
    <n v="2.5796701004310307E-4"/>
    <n v="-0.18550386864938739"/>
    <n v="-8.8214686159082498E-2"/>
  </r>
  <r>
    <x v="40"/>
    <s v="GE"/>
    <x v="2"/>
    <n v="9.7862500000000008"/>
    <n v="80.765000000000001"/>
    <n v="71.14"/>
    <n v="5.0167672702884095E-2"/>
    <n v="5.3243883608711947E-5"/>
    <n v="4.8205321330185846E-4"/>
    <n v="4.9685619489582236E-2"/>
    <n v="-4.2880932969314653E-4"/>
  </r>
  <r>
    <x v="41"/>
    <s v="GE"/>
    <x v="2"/>
    <n v="7.9587500000000002"/>
    <n v="79.44"/>
    <n v="61.76"/>
    <n v="-0.18674160173713122"/>
    <n v="-8.391999322386641E-2"/>
    <n v="8.7907064595027506E-4"/>
    <n v="-0.1876206723830815"/>
    <n v="-8.4799063869816685E-2"/>
  </r>
  <r>
    <x v="42"/>
    <s v="GE"/>
    <x v="2"/>
    <n v="9.2387499999999996"/>
    <n v="74.900000000000006"/>
    <n v="59.93"/>
    <n v="0.16082927595413843"/>
    <n v="9.1116347632205968E-2"/>
    <n v="1.5287470679612447E-3"/>
    <n v="0.15930052888617718"/>
    <n v="8.9587600564244724E-2"/>
  </r>
  <r>
    <x v="43"/>
    <s v="GE"/>
    <x v="2"/>
    <n v="9.18"/>
    <n v="81.295000000000002"/>
    <n v="72.69"/>
    <n v="-6.3590853741036244E-3"/>
    <n v="-4.2440119216810436E-2"/>
    <n v="1.8804294971668245E-3"/>
    <n v="-8.239514871270448E-3"/>
    <n v="-4.4320548713977261E-2"/>
  </r>
  <r>
    <x v="44"/>
    <s v="GE"/>
    <x v="2"/>
    <n v="7.7387499999999996"/>
    <n v="76.486699999999999"/>
    <n v="61.88"/>
    <n v="-0.15699891067538127"/>
    <n v="-9.3395701643489287E-2"/>
    <n v="2.1494073283745418E-3"/>
    <n v="-0.15914831800375581"/>
    <n v="-9.5545108971863829E-2"/>
  </r>
  <r>
    <x v="45"/>
    <s v="GE"/>
    <x v="2"/>
    <n v="9.7262500000000003"/>
    <n v="78.86"/>
    <n v="62.145000000000003"/>
    <n v="0.25682442254886134"/>
    <n v="7.9863454576893297E-2"/>
    <n v="2.7254391280759904E-3"/>
    <n v="0.25409898342078535"/>
    <n v="7.7138015448817307E-2"/>
  </r>
  <r>
    <x v="46"/>
    <s v="GE"/>
    <x v="2"/>
    <n v="10.74625"/>
    <n v="88.38"/>
    <n v="76.569999999999993"/>
    <n v="0.10487083922375011"/>
    <n v="5.375286029369989E-2"/>
    <n v="3.1691721789193217E-3"/>
    <n v="0.10170166704483079"/>
    <n v="5.0583688114780569E-2"/>
  </r>
  <r>
    <x v="47"/>
    <s v="GE"/>
    <x v="2"/>
    <n v="10.473750000000001"/>
    <n v="87.1"/>
    <n v="76.694999999999993"/>
    <n v="-2.5357682912643859E-2"/>
    <n v="-5.897144929916108E-2"/>
    <n v="3.1933138078821255E-3"/>
    <n v="-2.8550996720525985E-2"/>
    <n v="-6.2164763107043206E-2"/>
  </r>
  <r>
    <x v="48"/>
    <s v="GE"/>
    <x v="2"/>
    <n v="10.06"/>
    <n v="85.09"/>
    <n v="66.75"/>
    <n v="-3.9503520706528253E-2"/>
    <n v="6.1752832400052068E-2"/>
    <n v="3.690815569153072E-3"/>
    <n v="-4.3194336275681325E-2"/>
    <n v="5.8062016830898996E-2"/>
  </r>
  <r>
    <x v="49"/>
    <s v="GE"/>
    <x v="2"/>
    <n v="10.588749999999999"/>
    <n v="85.65"/>
    <n v="80.010000000000005"/>
    <n v="5.2559642147117169E-2"/>
    <n v="-2.6112446646715356E-2"/>
    <n v="3.7867936638156241E-3"/>
    <n v="4.8772848483301545E-2"/>
    <n v="-2.989924031053098E-2"/>
  </r>
  <r>
    <x v="50"/>
    <s v="GE"/>
    <x v="2"/>
    <n v="11.95"/>
    <n v="95.67"/>
    <n v="83.377700000000004"/>
    <n v="0.12855625073781138"/>
    <n v="3.5051572358727079E-2"/>
    <n v="3.6668052630131065E-3"/>
    <n v="0.12488944547479827"/>
    <n v="3.1384767095713972E-2"/>
  </r>
  <r>
    <x v="51"/>
    <s v="GE"/>
    <x v="2"/>
    <n v="12.37125"/>
    <n v="102.01"/>
    <n v="93.47"/>
    <n v="3.5251046025104656E-2"/>
    <n v="1.4642360882970416E-2"/>
    <n v="3.4103013914235092E-3"/>
    <n v="3.1840744633681146E-2"/>
    <n v="1.1232059491546906E-2"/>
  </r>
  <r>
    <x v="52"/>
    <s v="GE"/>
    <x v="2"/>
    <n v="12.69125"/>
    <n v="105.94"/>
    <n v="97.41"/>
    <n v="2.5866424168940107E-2"/>
    <n v="2.4823239348792572E-3"/>
    <n v="4.463764356697375E-3"/>
    <n v="2.1402659812242732E-2"/>
    <n v="-1.9814404218181179E-3"/>
  </r>
  <r>
    <x v="53"/>
    <s v="GE"/>
    <x v="2"/>
    <n v="13.731249999999999"/>
    <n v="110.26"/>
    <n v="101.07"/>
    <n v="8.1946222791293141E-2"/>
    <n v="6.4727512841431398E-2"/>
    <n v="4.2333616592649115E-3"/>
    <n v="7.771286113202823E-2"/>
    <n v="6.0494151182166486E-2"/>
  </r>
  <r>
    <x v="54"/>
    <s v="GE"/>
    <x v="2"/>
    <n v="14.28"/>
    <n v="117.96"/>
    <n v="106.86"/>
    <n v="3.9963586709148846E-2"/>
    <n v="3.1138913980379185E-2"/>
    <n v="4.3843808093919634E-3"/>
    <n v="3.5579205899756883E-2"/>
    <n v="2.6754533170987221E-2"/>
  </r>
  <r>
    <x v="55"/>
    <s v="GE"/>
    <x v="2"/>
    <n v="14.307499999999999"/>
    <n v="115.84610000000001"/>
    <n v="110.02"/>
    <n v="1.9257703081232394E-3"/>
    <n v="-1.7716432481433741E-2"/>
    <n v="4.5034302658089054E-3"/>
    <n v="-2.577659957685666E-3"/>
    <n v="-2.2219862747242646E-2"/>
  </r>
  <r>
    <x v="56"/>
    <s v="GE"/>
    <x v="2"/>
    <n v="13.81875"/>
    <n v="117.67"/>
    <n v="109.75"/>
    <n v="-3.4160405381792741E-2"/>
    <n v="-4.8719291162155016E-2"/>
    <n v="4.4954984622596061E-3"/>
    <n v="-3.8655903844052347E-2"/>
    <n v="-5.3214789624414623E-2"/>
  </r>
  <r>
    <x v="57"/>
    <s v="GE"/>
    <x v="2"/>
    <n v="13.578749999999999"/>
    <n v="114.89"/>
    <n v="105.53"/>
    <n v="-1.7367706919945741E-2"/>
    <n v="-2.1979687736850082E-2"/>
    <n v="4.5272215436409358E-3"/>
    <n v="-2.1894928463586677E-2"/>
    <n v="-2.6506909280491018E-2"/>
  </r>
  <r>
    <x v="58"/>
    <s v="GE"/>
    <x v="2"/>
    <n v="15.225"/>
    <n v="121.84"/>
    <n v="105.83"/>
    <n v="0.12123722728528033"/>
    <n v="8.9179264628737653E-2"/>
    <n v="4.4954984622596061E-3"/>
    <n v="0.11674172882302072"/>
    <n v="8.4683766166478047E-2"/>
  </r>
  <r>
    <x v="59"/>
    <s v="GE"/>
    <x v="2"/>
    <n v="15.953749999999999"/>
    <n v="129.19999999999999"/>
    <n v="118.17"/>
    <n v="4.7865353037766817E-2"/>
    <n v="4.4229169403213746E-2"/>
    <n v="4.5034302658089054E-3"/>
    <n v="4.3361922771957911E-2"/>
    <n v="3.972573913740484E-2"/>
  </r>
  <r>
    <x v="60"/>
    <s v="GE"/>
    <x v="2"/>
    <n v="16.552499999999998"/>
    <n v="134.47"/>
    <n v="123.65"/>
    <n v="3.7530361200344683E-2"/>
    <n v="1.5895744712075631E-2"/>
    <n v="4.5034302658089054E-3"/>
    <n v="3.3026930934535778E-2"/>
    <n v="1.1392314446266726E-2"/>
  </r>
  <r>
    <x v="61"/>
    <s v="GE"/>
    <x v="2"/>
    <n v="19.611249999999998"/>
    <n v="157.18"/>
    <n v="132.47"/>
    <n v="0.18479081709711526"/>
    <n v="5.1720615397315289E-2"/>
    <n v="4.463764356697375E-3"/>
    <n v="0.18032705274041788"/>
    <n v="4.7256851040617914E-2"/>
  </r>
  <r>
    <x v="62"/>
    <s v="GE"/>
    <x v="2"/>
    <n v="21.94125"/>
    <n v="180.36"/>
    <n v="156.57929999999999"/>
    <n v="0.11880935687424321"/>
    <n v="3.1018764704381814E-2"/>
    <n v="4.4796327880016751E-3"/>
    <n v="0.11432972408624154"/>
    <n v="2.6539131916380139E-2"/>
  </r>
  <r>
    <x v="63"/>
    <s v="GE"/>
    <x v="2"/>
    <n v="20.227499999999999"/>
    <n v="176.03210000000001"/>
    <n v="133.99"/>
    <n v="-7.8106306614254023E-2"/>
    <n v="-4.1615042774082567E-2"/>
    <n v="4.455829106839726E-3"/>
    <n v="-8.2562135721093749E-2"/>
    <n v="-4.6070871880922293E-2"/>
  </r>
  <r>
    <x v="64"/>
    <s v="GE"/>
    <x v="2"/>
    <n v="20.642499999999998"/>
    <n v="170.8"/>
    <n v="157.36000000000001"/>
    <n v="2.0516623408725704E-2"/>
    <n v="4.8021224499522536E-2"/>
    <n v="4.471698917043021E-3"/>
    <n v="1.6044924491682683E-2"/>
    <n v="4.3549525582479515E-2"/>
  </r>
  <r>
    <x v="65"/>
    <s v="GE"/>
    <x v="2"/>
    <n v="19.87125"/>
    <n v="167.4999"/>
    <n v="153.215"/>
    <n v="-3.7362238101005134E-2"/>
    <n v="3.4669759034089816E-2"/>
    <n v="4.439956538087042E-3"/>
    <n v="-4.1802194639092176E-2"/>
    <n v="3.0229802496002774E-2"/>
  </r>
  <r>
    <x v="66"/>
    <s v="GE"/>
    <x v="2"/>
    <n v="21.274999999999999"/>
    <n v="177.2"/>
    <n v="156.05000000000001"/>
    <n v="7.0642259545826189E-2"/>
    <n v="1.1321349038912444E-2"/>
    <n v="4.455829106839726E-3"/>
    <n v="6.6186430438986463E-2"/>
    <n v="6.8655199320727181E-3"/>
  </r>
  <r>
    <x v="67"/>
    <s v="GE"/>
    <x v="2"/>
    <n v="21.827500000000001"/>
    <n v="175.97"/>
    <n v="150.20009999999999"/>
    <n v="2.5969447708578237E-2"/>
    <n v="2.2834688445031861E-2"/>
    <n v="4.471698917043021E-3"/>
    <n v="2.1497748791535216E-2"/>
    <n v="1.836298952798884E-2"/>
  </r>
  <r>
    <x v="68"/>
    <s v="GE"/>
    <x v="2"/>
    <n v="23.572500000000002"/>
    <n v="190.88"/>
    <n v="160.59"/>
    <n v="7.9945023479555649E-2"/>
    <n v="2.0196869910063014E-2"/>
    <n v="4.1219243192651689E-3"/>
    <n v="7.582309916029048E-2"/>
    <n v="1.6074945590797845E-2"/>
  </r>
  <r>
    <x v="69"/>
    <s v="GE"/>
    <x v="2"/>
    <n v="21.4725"/>
    <n v="194.8"/>
    <n v="170.43"/>
    <n v="-8.9086859688196046E-2"/>
    <n v="-9.896780552817494E-3"/>
    <n v="4.0103507726252374E-3"/>
    <n v="-9.3097210460821284E-2"/>
    <n v="-1.3907131325442731E-2"/>
  </r>
  <r>
    <x v="70"/>
    <s v="GE"/>
    <x v="2"/>
    <n v="22.77"/>
    <n v="187.47"/>
    <n v="171.45"/>
    <n v="6.0426126440796341E-2"/>
    <n v="5.7301352215863834E-2"/>
    <n v="3.8427343023630378E-3"/>
    <n v="5.6583392138433303E-2"/>
    <n v="5.3458617913500796E-2"/>
  </r>
  <r>
    <x v="71"/>
    <s v="GE"/>
    <x v="2"/>
    <n v="20.848749999999999"/>
    <n v="182.9"/>
    <n v="159.6"/>
    <n v="-8.4376372419850701E-2"/>
    <n v="-2.4990136563014929E-2"/>
    <n v="3.6748094004368514E-3"/>
    <n v="-8.8051181820287552E-2"/>
    <n v="-2.866494596345178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29888-E64C-1343-9776-4AEE8156ECCA}" name="PivotTable2" cacheId="14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D8:H81" firstHeaderRow="1" firstDataRow="2" firstDataCol="1"/>
  <pivotFields count="11">
    <pivotField axis="axisRow" compact="0" outline="0" showAll="0" includeNewItemsInFilter="1">
      <items count="73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outline="0" showAll="0" includeNewItemsInFilter="1"/>
    <pivotField axis="axisCol" compact="0" outline="0" showAll="0" includeNewItemsInFilter="1">
      <items count="4">
        <item x="1"/>
        <item x="0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</pivotFields>
  <rowFields count="1">
    <field x="0"/>
  </rowFields>
  <rowItems count="7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Excess Return" fld="9" baseField="0" baseItem="0"/>
  </dataFields>
  <pivotTableStyleInfo name="PivotStyleMedium5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8E04E-E5C3-FA44-BB7C-9E90CDC48C23}" name="Table1" displayName="Table1" ref="A1:K217" totalsRowShown="0" headerRowDxfId="8" dataDxfId="9">
  <autoFilter ref="A1:K217" xr:uid="{2B88E04E-E5C3-FA44-BB7C-9E90CDC48C23}"/>
  <tableColumns count="11">
    <tableColumn id="1" xr3:uid="{4381D3FC-7EC6-124D-9D2C-DB0435F8E934}" name="Date" dataDxfId="15"/>
    <tableColumn id="2" xr3:uid="{B609A7DE-AB0D-E148-A7AF-7614AFF938DB}" name="Ticker" dataDxfId="14"/>
    <tableColumn id="3" xr3:uid="{C534083C-15A1-A546-99D9-C847BB3D86C6}" name="Company Name" dataDxfId="13"/>
    <tableColumn id="4" xr3:uid="{5EA48A8D-BBA9-7942-9176-86464AC41424}" name="Close Price" dataDxfId="12"/>
    <tableColumn id="5" xr3:uid="{224B3F78-56F2-AE42-BF9C-0E63E702604B}" name="High Price" dataDxfId="11"/>
    <tableColumn id="6" xr3:uid="{E4557634-E0B5-C34D-B718-F1E9055DBC5D}" name="Low Price" dataDxfId="10"/>
    <tableColumn id="7" xr3:uid="{3BBE2863-92B5-0D4D-86C2-D8B9EDCC9EC3}" name="return on stocks">
      <calculatedColumnFormula>(D2-D1)/D1</calculatedColumnFormula>
    </tableColumn>
    <tableColumn id="8" xr3:uid="{CD64E5A5-9148-A64D-8C5F-527560C145AF}" name="Market Return" dataDxfId="2">
      <calculatedColumnFormula>VLOOKUP(A2,Table2[],3, FALSE)</calculatedColumnFormula>
    </tableColumn>
    <tableColumn id="9" xr3:uid="{F03229D9-5B2B-6042-A4EC-EA48FA51B796}" name="Risk Free rate" dataDxfId="3">
      <calculatedColumnFormula>VLOOKUP(A2,Table3[],3, FALSE)</calculatedColumnFormula>
    </tableColumn>
    <tableColumn id="10" xr3:uid="{F32146B0-6BD7-5841-B6EC-FB2978D65CCA}" name="Excess Return" dataDxfId="1">
      <calculatedColumnFormula>G2-I2</calculatedColumnFormula>
    </tableColumn>
    <tableColumn id="11" xr3:uid="{F8AFD7BE-30ED-4142-ABF6-B4A39346F9F3}" name="Market Excess return" dataDxfId="0">
      <calculatedColumnFormula>H2-I2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4FF4AC-F0E8-CC4B-A6DF-E8311F779E4D}" name="Table2" displayName="Table2" ref="A1:C73" totalsRowShown="0">
  <autoFilter ref="A1:C73" xr:uid="{D24FF4AC-F0E8-CC4B-A6DF-E8311F779E4D}"/>
  <tableColumns count="3">
    <tableColumn id="1" xr3:uid="{56E0BE9B-665A-B449-B0C1-B15518CE3163}" name="Date" dataDxfId="7"/>
    <tableColumn id="2" xr3:uid="{199581F1-6ABE-AA4E-96FB-67EAB625E758}" name="Level of the S&amp;P 500 Index"/>
    <tableColumn id="3" xr3:uid="{AAC229A2-E6A2-204D-A143-B78461152A44}" name="Market return" dataDxfId="6">
      <calculatedColumnFormula>(B2-B1)/B1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31491C-6239-D443-957F-8D91698BECE9}" name="Table3" displayName="Table3" ref="A1:C73" totalsRowShown="0">
  <autoFilter ref="A1:C73" xr:uid="{3831491C-6239-D443-957F-8D91698BECE9}"/>
  <tableColumns count="3">
    <tableColumn id="1" xr3:uid="{47E3CE61-7E09-CE41-A6A2-D4EF6FF5AA0D}" name="Date" dataDxfId="5"/>
    <tableColumn id="2" xr3:uid="{952FD00A-E8E7-0C43-B4AD-22AF492AF7CD}" name="Return on the T bill (in %)" dataDxfId="4"/>
    <tableColumn id="3" xr3:uid="{094FABB0-4118-CC40-A9E8-9495B32FF06A}" name="Risk Free rate monthly">
      <calculatedColumnFormula>((1+(B2/100))^(1/12))-1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C180-D425-A14C-8788-BD4407F26CA2}">
  <sheetPr>
    <outlinePr summaryBelow="0" summaryRight="0"/>
  </sheetPr>
  <dimension ref="A1:K217"/>
  <sheetViews>
    <sheetView workbookViewId="0">
      <pane ySplit="1" topLeftCell="A2" activePane="bottomLeft" state="frozen"/>
      <selection pane="bottomLeft" activeCell="K3" sqref="K3"/>
    </sheetView>
  </sheetViews>
  <sheetFormatPr baseColWidth="10" defaultColWidth="11.5" defaultRowHeight="13" x14ac:dyDescent="0.15"/>
  <cols>
    <col min="3" max="3" width="16.33203125" customWidth="1"/>
    <col min="4" max="4" width="13" customWidth="1"/>
    <col min="5" max="5" width="12" customWidth="1"/>
    <col min="6" max="6" width="11.6640625" customWidth="1"/>
    <col min="7" max="7" width="16.83203125" customWidth="1"/>
    <col min="8" max="8" width="12.6640625" bestFit="1" customWidth="1"/>
    <col min="9" max="9" width="12.33203125" bestFit="1" customWidth="1"/>
  </cols>
  <sheetData>
    <row r="1" spans="1:11" ht="4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86</v>
      </c>
      <c r="H1" s="10" t="s">
        <v>90</v>
      </c>
      <c r="I1" s="10" t="s">
        <v>91</v>
      </c>
      <c r="J1" s="10" t="s">
        <v>92</v>
      </c>
      <c r="K1" s="10" t="s">
        <v>93</v>
      </c>
    </row>
    <row r="2" spans="1:11" x14ac:dyDescent="0.15">
      <c r="A2" s="2" t="s">
        <v>6</v>
      </c>
      <c r="B2" s="2" t="s">
        <v>7</v>
      </c>
      <c r="C2" s="2" t="s">
        <v>8</v>
      </c>
      <c r="D2" s="2">
        <f>Sheet1!A1/4</f>
        <v>41.61</v>
      </c>
      <c r="E2" s="2">
        <v>169</v>
      </c>
      <c r="F2" s="2">
        <v>142</v>
      </c>
      <c r="H2" s="9">
        <f>VLOOKUP(A2,Table2[],3, FALSE)</f>
        <v>0</v>
      </c>
      <c r="I2" s="9">
        <f>VLOOKUP(A2,Table3[],3, FALSE)</f>
        <v>1.9783315388433032E-3</v>
      </c>
      <c r="J2" s="9">
        <f t="shared" ref="J2:J65" si="0">G2-I2</f>
        <v>-1.9783315388433032E-3</v>
      </c>
      <c r="K2" s="12">
        <f t="shared" ref="K2:K65" si="1">H2-I2</f>
        <v>-1.9783315388433032E-3</v>
      </c>
    </row>
    <row r="3" spans="1:11" x14ac:dyDescent="0.15">
      <c r="A3" s="2" t="s">
        <v>9</v>
      </c>
      <c r="B3" s="2" t="s">
        <v>7</v>
      </c>
      <c r="C3" s="2" t="s">
        <v>8</v>
      </c>
      <c r="D3" s="2">
        <f>Sheet1!A2/4</f>
        <v>43.287500000000001</v>
      </c>
      <c r="E3" s="2">
        <v>175.87</v>
      </c>
      <c r="F3" s="2">
        <v>165.93</v>
      </c>
      <c r="G3">
        <f>(D3-D2)/D2</f>
        <v>4.0314828166306223E-2</v>
      </c>
      <c r="H3" s="9">
        <f>VLOOKUP(A3,Table2[],3, FALSE)</f>
        <v>2.9728930143115964E-2</v>
      </c>
      <c r="I3" s="9">
        <f>VLOOKUP(A3,Table3[],3, FALSE)</f>
        <v>2.0027906163269105E-3</v>
      </c>
      <c r="J3" s="9">
        <f t="shared" si="0"/>
        <v>3.8312037549979312E-2</v>
      </c>
      <c r="K3" s="12">
        <f t="shared" si="1"/>
        <v>2.7726139526789054E-2</v>
      </c>
    </row>
    <row r="4" spans="1:11" x14ac:dyDescent="0.15">
      <c r="A4" s="2" t="s">
        <v>10</v>
      </c>
      <c r="B4" s="2" t="s">
        <v>7</v>
      </c>
      <c r="C4" s="2" t="s">
        <v>8</v>
      </c>
      <c r="D4" s="2">
        <f>Sheet1!A3/4</f>
        <v>47.487499999999997</v>
      </c>
      <c r="E4" s="2">
        <v>197.69</v>
      </c>
      <c r="F4" s="2">
        <v>169.5</v>
      </c>
      <c r="G4">
        <f t="shared" ref="G4:G67" si="2">(D4-D3)/D3</f>
        <v>9.7025700259890171E-2</v>
      </c>
      <c r="H4" s="9">
        <f>VLOOKUP(A4,Table2[],3, FALSE)</f>
        <v>1.7924287751078408E-2</v>
      </c>
      <c r="I4" s="9">
        <f>VLOOKUP(A4,Table3[],3, FALSE)</f>
        <v>2.0190930200914003E-3</v>
      </c>
      <c r="J4" s="9">
        <f t="shared" si="0"/>
        <v>9.5006607239798771E-2</v>
      </c>
      <c r="K4" s="12">
        <f t="shared" si="1"/>
        <v>1.5905194730987008E-2</v>
      </c>
    </row>
    <row r="5" spans="1:11" x14ac:dyDescent="0.15">
      <c r="A5" s="2" t="s">
        <v>11</v>
      </c>
      <c r="B5" s="2" t="s">
        <v>7</v>
      </c>
      <c r="C5" s="2" t="s">
        <v>8</v>
      </c>
      <c r="D5" s="2">
        <f>Sheet1!A4/4</f>
        <v>50.167499999999997</v>
      </c>
      <c r="E5" s="2">
        <v>208.48</v>
      </c>
      <c r="F5" s="2">
        <v>188.38</v>
      </c>
      <c r="G5">
        <f t="shared" si="2"/>
        <v>5.6435904185311921E-2</v>
      </c>
      <c r="H5" s="9">
        <f>VLOOKUP(A5,Table2[],3, FALSE)</f>
        <v>3.9313434942139368E-2</v>
      </c>
      <c r="I5" s="9">
        <f>VLOOKUP(A5,Table3[],3, FALSE)</f>
        <v>2.0027906163269105E-3</v>
      </c>
      <c r="J5" s="9">
        <f t="shared" si="0"/>
        <v>5.443311356898501E-2</v>
      </c>
      <c r="K5" s="12">
        <f t="shared" si="1"/>
        <v>3.7310644325812457E-2</v>
      </c>
    </row>
    <row r="6" spans="1:11" x14ac:dyDescent="0.15">
      <c r="A6" s="2" t="s">
        <v>12</v>
      </c>
      <c r="B6" s="2" t="s">
        <v>7</v>
      </c>
      <c r="C6" s="2" t="s">
        <v>8</v>
      </c>
      <c r="D6" s="2">
        <f>Sheet1!A5/4</f>
        <v>43.767499999999998</v>
      </c>
      <c r="E6" s="2">
        <v>215.31</v>
      </c>
      <c r="F6" s="2">
        <v>174.99</v>
      </c>
      <c r="G6">
        <f t="shared" si="2"/>
        <v>-0.12757263168385904</v>
      </c>
      <c r="H6" s="9">
        <f>VLOOKUP(A6,Table2[],3, FALSE)</f>
        <v>-6.5777726481161508E-2</v>
      </c>
      <c r="I6" s="9">
        <f>VLOOKUP(A6,Table3[],3, FALSE)</f>
        <v>1.9783315388433032E-3</v>
      </c>
      <c r="J6" s="9">
        <f t="shared" si="0"/>
        <v>-0.12955096322270235</v>
      </c>
      <c r="K6" s="12">
        <f t="shared" si="1"/>
        <v>-6.7756058020004811E-2</v>
      </c>
    </row>
    <row r="7" spans="1:11" x14ac:dyDescent="0.15">
      <c r="A7" s="2" t="s">
        <v>13</v>
      </c>
      <c r="B7" s="2" t="s">
        <v>7</v>
      </c>
      <c r="C7" s="2" t="s">
        <v>8</v>
      </c>
      <c r="D7" s="2">
        <f>Sheet1!A6/4</f>
        <v>49.48</v>
      </c>
      <c r="E7" s="2">
        <v>201.57</v>
      </c>
      <c r="F7" s="2">
        <v>170.27</v>
      </c>
      <c r="G7">
        <f t="shared" si="2"/>
        <v>0.13051922088307533</v>
      </c>
      <c r="H7" s="9">
        <f>VLOOKUP(A7,Table2[],3, FALSE)</f>
        <v>6.8930183208215035E-2</v>
      </c>
      <c r="I7" s="9">
        <f>VLOOKUP(A7,Table3[],3, FALSE)</f>
        <v>1.8314389855391688E-3</v>
      </c>
      <c r="J7" s="9">
        <f t="shared" si="0"/>
        <v>0.12868778189753616</v>
      </c>
      <c r="K7" s="12">
        <f t="shared" si="1"/>
        <v>6.7098744222675866E-2</v>
      </c>
    </row>
    <row r="8" spans="1:11" x14ac:dyDescent="0.15">
      <c r="A8" s="2" t="s">
        <v>14</v>
      </c>
      <c r="B8" s="2" t="s">
        <v>7</v>
      </c>
      <c r="C8" s="2" t="s">
        <v>8</v>
      </c>
      <c r="D8" s="2">
        <f>Sheet1!A7/4</f>
        <v>53.26</v>
      </c>
      <c r="E8" s="2">
        <v>221.37</v>
      </c>
      <c r="F8" s="2">
        <v>198.41</v>
      </c>
      <c r="G8">
        <f t="shared" si="2"/>
        <v>7.6394502829426059E-2</v>
      </c>
      <c r="H8" s="9">
        <f>VLOOKUP(A8,Table2[],3, FALSE)</f>
        <v>1.312819536603934E-2</v>
      </c>
      <c r="I8" s="9">
        <f>VLOOKUP(A8,Table3[],3, FALSE)</f>
        <v>1.7742500619855051E-3</v>
      </c>
      <c r="J8" s="9">
        <f t="shared" si="0"/>
        <v>7.4620252767440554E-2</v>
      </c>
      <c r="K8" s="12">
        <f t="shared" si="1"/>
        <v>1.1353945304053835E-2</v>
      </c>
    </row>
    <row r="9" spans="1:11" x14ac:dyDescent="0.15">
      <c r="A9" s="2" t="s">
        <v>15</v>
      </c>
      <c r="B9" s="2" t="s">
        <v>7</v>
      </c>
      <c r="C9" s="2" t="s">
        <v>8</v>
      </c>
      <c r="D9" s="2">
        <f>Sheet1!A8/4</f>
        <v>52.185000000000002</v>
      </c>
      <c r="E9" s="2">
        <v>218.03</v>
      </c>
      <c r="F9" s="2">
        <v>192.58</v>
      </c>
      <c r="G9">
        <f t="shared" si="2"/>
        <v>-2.0184003004130601E-2</v>
      </c>
      <c r="H9" s="9">
        <f>VLOOKUP(A9,Table2[],3, FALSE)</f>
        <v>-1.8091652742267789E-2</v>
      </c>
      <c r="I9" s="9">
        <f>VLOOKUP(A9,Table3[],3, FALSE)</f>
        <v>1.7088472872288651E-3</v>
      </c>
      <c r="J9" s="9">
        <f t="shared" si="0"/>
        <v>-2.1892850291359466E-2</v>
      </c>
      <c r="K9" s="12">
        <f t="shared" si="1"/>
        <v>-1.9800500029496654E-2</v>
      </c>
    </row>
    <row r="10" spans="1:11" x14ac:dyDescent="0.15">
      <c r="A10" s="2" t="s">
        <v>16</v>
      </c>
      <c r="B10" s="2" t="s">
        <v>7</v>
      </c>
      <c r="C10" s="2" t="s">
        <v>8</v>
      </c>
      <c r="D10" s="2">
        <f>Sheet1!A9/4</f>
        <v>55.9925</v>
      </c>
      <c r="E10" s="2">
        <v>226.42</v>
      </c>
      <c r="F10" s="2">
        <v>204.22</v>
      </c>
      <c r="G10">
        <f t="shared" si="2"/>
        <v>7.2961578997796248E-2</v>
      </c>
      <c r="H10" s="9">
        <f>VLOOKUP(A10,Table2[],3, FALSE)</f>
        <v>1.7181167690656883E-2</v>
      </c>
      <c r="I10" s="9">
        <f>VLOOKUP(A10,Table3[],3, FALSE)</f>
        <v>1.6433975062259965E-3</v>
      </c>
      <c r="J10" s="9">
        <f t="shared" si="0"/>
        <v>7.1318181491570251E-2</v>
      </c>
      <c r="K10" s="12">
        <f t="shared" si="1"/>
        <v>1.5537770184430887E-2</v>
      </c>
    </row>
    <row r="11" spans="1:11" x14ac:dyDescent="0.15">
      <c r="A11" s="2" t="s">
        <v>17</v>
      </c>
      <c r="B11" s="2" t="s">
        <v>7</v>
      </c>
      <c r="C11" s="2" t="s">
        <v>8</v>
      </c>
      <c r="D11" s="2">
        <f>Sheet1!A10/4</f>
        <v>62.19</v>
      </c>
      <c r="E11" s="2">
        <v>249.75</v>
      </c>
      <c r="F11" s="2">
        <v>215.13200000000001</v>
      </c>
      <c r="G11">
        <f t="shared" si="2"/>
        <v>0.11068446666964323</v>
      </c>
      <c r="H11" s="9">
        <f>VLOOKUP(A11,Table2[],3, FALSE)</f>
        <v>2.0431747482144953E-2</v>
      </c>
      <c r="I11" s="9">
        <f>VLOOKUP(A11,Table3[],3, FALSE)</f>
        <v>1.4303602255574255E-3</v>
      </c>
      <c r="J11" s="9">
        <f t="shared" si="0"/>
        <v>0.1092541064440858</v>
      </c>
      <c r="K11" s="12">
        <f t="shared" si="1"/>
        <v>1.9001387256587527E-2</v>
      </c>
    </row>
    <row r="12" spans="1:11" x14ac:dyDescent="0.15">
      <c r="A12" s="2" t="s">
        <v>18</v>
      </c>
      <c r="B12" s="2" t="s">
        <v>7</v>
      </c>
      <c r="C12" s="2" t="s">
        <v>8</v>
      </c>
      <c r="D12" s="2">
        <f>Sheet1!A11/4</f>
        <v>66.8125</v>
      </c>
      <c r="E12" s="2">
        <v>268</v>
      </c>
      <c r="F12" s="2">
        <v>249.16</v>
      </c>
      <c r="G12">
        <f t="shared" si="2"/>
        <v>7.4328670204212938E-2</v>
      </c>
      <c r="H12" s="9">
        <f>VLOOKUP(A12,Table2[],3, FALSE)</f>
        <v>3.4047064090915104E-2</v>
      </c>
      <c r="I12" s="9">
        <f>VLOOKUP(A12,Table3[],3, FALSE)</f>
        <v>1.3072269593599195E-3</v>
      </c>
      <c r="J12" s="9">
        <f t="shared" si="0"/>
        <v>7.3021443244853018E-2</v>
      </c>
      <c r="K12" s="12">
        <f t="shared" si="1"/>
        <v>3.2739837131555184E-2</v>
      </c>
    </row>
    <row r="13" spans="1:11" x14ac:dyDescent="0.15">
      <c r="A13" s="2" t="s">
        <v>19</v>
      </c>
      <c r="B13" s="2" t="s">
        <v>7</v>
      </c>
      <c r="C13" s="2" t="s">
        <v>8</v>
      </c>
      <c r="D13" s="2">
        <f>Sheet1!A12/4</f>
        <v>73.412499999999994</v>
      </c>
      <c r="E13" s="2">
        <v>293.97000000000003</v>
      </c>
      <c r="F13" s="2">
        <v>256.29000000000002</v>
      </c>
      <c r="G13">
        <f t="shared" si="2"/>
        <v>9.8783910196445196E-2</v>
      </c>
      <c r="H13" s="9">
        <f>VLOOKUP(A13,Table2[],3, FALSE)</f>
        <v>2.8589803182446302E-2</v>
      </c>
      <c r="I13" s="9">
        <f>VLOOKUP(A13,Table3[],3, FALSE)</f>
        <v>1.2825803067024744E-3</v>
      </c>
      <c r="J13" s="9">
        <f t="shared" si="0"/>
        <v>9.7501329889742722E-2</v>
      </c>
      <c r="K13" s="12">
        <f t="shared" si="1"/>
        <v>2.7307222875743827E-2</v>
      </c>
    </row>
    <row r="14" spans="1:11" x14ac:dyDescent="0.15">
      <c r="A14" s="2" t="s">
        <v>20</v>
      </c>
      <c r="B14" s="2" t="s">
        <v>7</v>
      </c>
      <c r="C14" s="2" t="s">
        <v>8</v>
      </c>
      <c r="D14" s="2">
        <f>Sheet1!A13/4</f>
        <v>77.377499999999998</v>
      </c>
      <c r="E14" s="2">
        <v>327.85</v>
      </c>
      <c r="F14" s="2">
        <v>292.75</v>
      </c>
      <c r="G14">
        <f t="shared" si="2"/>
        <v>5.4009875702366816E-2</v>
      </c>
      <c r="H14" s="9">
        <f>VLOOKUP(A14,Table2[],3, FALSE)</f>
        <v>-1.6280898111292685E-3</v>
      </c>
      <c r="I14" s="9">
        <f>VLOOKUP(A14,Table3[],3, FALSE)</f>
        <v>1.2661454966749197E-3</v>
      </c>
      <c r="J14" s="9">
        <f t="shared" si="0"/>
        <v>5.2743730205691897E-2</v>
      </c>
      <c r="K14" s="12">
        <f t="shared" si="1"/>
        <v>-2.8942353078041882E-3</v>
      </c>
    </row>
    <row r="15" spans="1:11" x14ac:dyDescent="0.15">
      <c r="A15" s="2" t="s">
        <v>21</v>
      </c>
      <c r="B15" s="2" t="s">
        <v>7</v>
      </c>
      <c r="C15" s="2" t="s">
        <v>8</v>
      </c>
      <c r="D15" s="2">
        <f>Sheet1!A14/4</f>
        <v>68.34</v>
      </c>
      <c r="E15" s="2">
        <v>327.22000000000003</v>
      </c>
      <c r="F15" s="2">
        <v>256.37</v>
      </c>
      <c r="G15">
        <f t="shared" si="2"/>
        <v>-0.1167975186585247</v>
      </c>
      <c r="H15" s="9">
        <f>VLOOKUP(A15,Table2[],3, FALSE)</f>
        <v>-8.4110469009648109E-2</v>
      </c>
      <c r="I15" s="9">
        <f>VLOOKUP(A15,Table3[],3, FALSE)</f>
        <v>1.3072269593599195E-3</v>
      </c>
      <c r="J15" s="9">
        <f t="shared" si="0"/>
        <v>-0.11810474561788462</v>
      </c>
      <c r="K15" s="12">
        <f t="shared" si="1"/>
        <v>-8.5417695969008028E-2</v>
      </c>
    </row>
    <row r="16" spans="1:11" x14ac:dyDescent="0.15">
      <c r="A16" s="2" t="s">
        <v>22</v>
      </c>
      <c r="B16" s="2" t="s">
        <v>7</v>
      </c>
      <c r="C16" s="2" t="s">
        <v>8</v>
      </c>
      <c r="D16" s="2">
        <f>Sheet1!A15/4</f>
        <v>63.572499999999998</v>
      </c>
      <c r="E16" s="2">
        <v>304</v>
      </c>
      <c r="F16" s="2">
        <v>212.61</v>
      </c>
      <c r="G16">
        <f t="shared" si="2"/>
        <v>-6.9761486684226007E-2</v>
      </c>
      <c r="H16" s="9">
        <f>VLOOKUP(A16,Table2[],3, FALSE)</f>
        <v>-0.12511932083595659</v>
      </c>
      <c r="I16" s="9">
        <f>VLOOKUP(A16,Table3[],3, FALSE)</f>
        <v>3.0781168409865778E-4</v>
      </c>
      <c r="J16" s="9">
        <f t="shared" si="0"/>
        <v>-7.0069298368324665E-2</v>
      </c>
      <c r="K16" s="12">
        <f t="shared" si="1"/>
        <v>-0.12542713252005525</v>
      </c>
    </row>
    <row r="17" spans="1:11" x14ac:dyDescent="0.15">
      <c r="A17" s="2" t="s">
        <v>23</v>
      </c>
      <c r="B17" s="2" t="s">
        <v>7</v>
      </c>
      <c r="C17" s="2" t="s">
        <v>8</v>
      </c>
      <c r="D17" s="2">
        <f>Sheet1!A16/4</f>
        <v>73.45</v>
      </c>
      <c r="E17" s="2">
        <v>294.52999999999997</v>
      </c>
      <c r="F17" s="2">
        <v>236.9</v>
      </c>
      <c r="G17">
        <f t="shared" si="2"/>
        <v>0.15537378583507028</v>
      </c>
      <c r="H17" s="9">
        <f>VLOOKUP(A17,Table2[],3, FALSE)</f>
        <v>0.12684410293315368</v>
      </c>
      <c r="I17" s="9">
        <f>VLOOKUP(A17,Table3[],3, FALSE)</f>
        <v>9.1620483841925449E-5</v>
      </c>
      <c r="J17" s="9">
        <f t="shared" si="0"/>
        <v>0.15528216535122835</v>
      </c>
      <c r="K17" s="12">
        <f t="shared" si="1"/>
        <v>0.12675248244931175</v>
      </c>
    </row>
    <row r="18" spans="1:11" x14ac:dyDescent="0.15">
      <c r="A18" s="2" t="s">
        <v>24</v>
      </c>
      <c r="B18" s="2" t="s">
        <v>7</v>
      </c>
      <c r="C18" s="2" t="s">
        <v>8</v>
      </c>
      <c r="D18" s="2">
        <f>Sheet1!A17/4</f>
        <v>79.484999999999999</v>
      </c>
      <c r="E18" s="2">
        <v>324.24</v>
      </c>
      <c r="F18" s="2">
        <v>285.85000000000002</v>
      </c>
      <c r="G18">
        <f t="shared" si="2"/>
        <v>8.2164737916950253E-2</v>
      </c>
      <c r="H18" s="9">
        <f>VLOOKUP(A18,Table2[],3, FALSE)</f>
        <v>4.5281775012618368E-2</v>
      </c>
      <c r="I18" s="9">
        <f>VLOOKUP(A18,Table3[],3, FALSE)</f>
        <v>8.3295163273211514E-5</v>
      </c>
      <c r="J18" s="9">
        <f t="shared" si="0"/>
        <v>8.2081442753677042E-2</v>
      </c>
      <c r="K18" s="12">
        <f t="shared" si="1"/>
        <v>4.5198479849345156E-2</v>
      </c>
    </row>
    <row r="19" spans="1:11" x14ac:dyDescent="0.15">
      <c r="A19" s="2" t="s">
        <v>25</v>
      </c>
      <c r="B19" s="2" t="s">
        <v>7</v>
      </c>
      <c r="C19" s="2" t="s">
        <v>8</v>
      </c>
      <c r="D19" s="2">
        <f>Sheet1!A18/4</f>
        <v>91.2</v>
      </c>
      <c r="E19" s="2">
        <v>372.38</v>
      </c>
      <c r="F19" s="2">
        <v>317.20999999999998</v>
      </c>
      <c r="G19">
        <f t="shared" si="2"/>
        <v>0.14738629930175509</v>
      </c>
      <c r="H19" s="9">
        <f>VLOOKUP(A19,Table2[],3, FALSE)</f>
        <v>1.838840328350267E-2</v>
      </c>
      <c r="I19" s="9">
        <f>VLOOKUP(A19,Table3[],3, FALSE)</f>
        <v>1.0826883828274347E-4</v>
      </c>
      <c r="J19" s="9">
        <f t="shared" si="0"/>
        <v>0.14727803046347235</v>
      </c>
      <c r="K19" s="12">
        <f t="shared" si="1"/>
        <v>1.8280134445219927E-2</v>
      </c>
    </row>
    <row r="20" spans="1:11" x14ac:dyDescent="0.15">
      <c r="A20" s="2" t="s">
        <v>26</v>
      </c>
      <c r="B20" s="2" t="s">
        <v>7</v>
      </c>
      <c r="C20" s="2" t="s">
        <v>8</v>
      </c>
      <c r="D20" s="2">
        <f>Sheet1!A19/4</f>
        <v>106.26</v>
      </c>
      <c r="E20" s="2">
        <v>425.66</v>
      </c>
      <c r="F20" s="2">
        <v>356.58</v>
      </c>
      <c r="G20">
        <f t="shared" si="2"/>
        <v>0.16513157894736843</v>
      </c>
      <c r="H20" s="9">
        <f>VLOOKUP(A20,Table2[],3, FALSE)</f>
        <v>5.5101296975444213E-2</v>
      </c>
      <c r="I20" s="9">
        <f>VLOOKUP(A20,Table3[],3, FALSE)</f>
        <v>9.1620483841925449E-5</v>
      </c>
      <c r="J20" s="9">
        <f t="shared" si="0"/>
        <v>0.16503995846352651</v>
      </c>
      <c r="K20" s="12">
        <f t="shared" si="1"/>
        <v>5.5009676491602287E-2</v>
      </c>
    </row>
    <row r="21" spans="1:11" x14ac:dyDescent="0.15">
      <c r="A21" s="2" t="s">
        <v>27</v>
      </c>
      <c r="B21" s="2" t="s">
        <v>7</v>
      </c>
      <c r="C21" s="2" t="s">
        <v>8</v>
      </c>
      <c r="D21" s="2">
        <v>129.04</v>
      </c>
      <c r="E21" s="2">
        <v>131</v>
      </c>
      <c r="F21" s="2">
        <v>107.8925</v>
      </c>
      <c r="G21">
        <f t="shared" si="2"/>
        <v>0.21437982307547512</v>
      </c>
      <c r="H21" s="9">
        <f>VLOOKUP(A21,Table2[],3, FALSE)</f>
        <v>7.0064687324219249E-2</v>
      </c>
      <c r="I21" s="9">
        <f>VLOOKUP(A21,Table3[],3, FALSE)</f>
        <v>6.6642234708869097E-5</v>
      </c>
      <c r="J21" s="9">
        <f t="shared" si="0"/>
        <v>0.21431318084076625</v>
      </c>
      <c r="K21" s="12">
        <f t="shared" si="1"/>
        <v>6.999804508951038E-2</v>
      </c>
    </row>
    <row r="22" spans="1:11" x14ac:dyDescent="0.15">
      <c r="A22" s="2" t="s">
        <v>28</v>
      </c>
      <c r="B22" s="2" t="s">
        <v>7</v>
      </c>
      <c r="C22" s="2" t="s">
        <v>8</v>
      </c>
      <c r="D22" s="2">
        <v>115.81</v>
      </c>
      <c r="E22" s="2">
        <v>137.97999999999999</v>
      </c>
      <c r="F22" s="2">
        <v>103.1</v>
      </c>
      <c r="G22">
        <f t="shared" si="2"/>
        <v>-0.10252634841909478</v>
      </c>
      <c r="H22" s="9">
        <f>VLOOKUP(A22,Table2[],3, FALSE)</f>
        <v>-3.9227954095494386E-2</v>
      </c>
      <c r="I22" s="9">
        <f>VLOOKUP(A22,Table3[],3, FALSE)</f>
        <v>7.4969080277487166E-5</v>
      </c>
      <c r="J22" s="9">
        <f t="shared" si="0"/>
        <v>-0.10260131749937226</v>
      </c>
      <c r="K22" s="12">
        <f t="shared" si="1"/>
        <v>-3.9302923175771873E-2</v>
      </c>
    </row>
    <row r="23" spans="1:11" x14ac:dyDescent="0.15">
      <c r="A23" s="2" t="s">
        <v>29</v>
      </c>
      <c r="B23" s="2" t="s">
        <v>7</v>
      </c>
      <c r="C23" s="2" t="s">
        <v>8</v>
      </c>
      <c r="D23" s="2">
        <v>108.86</v>
      </c>
      <c r="E23" s="2">
        <v>125.39</v>
      </c>
      <c r="F23" s="2">
        <v>107.72</v>
      </c>
      <c r="G23">
        <f t="shared" si="2"/>
        <v>-6.0012088766082397E-2</v>
      </c>
      <c r="H23" s="9">
        <f>VLOOKUP(A23,Table2[],3, FALSE)</f>
        <v>-2.766577460600653E-2</v>
      </c>
      <c r="I23" s="9">
        <f>VLOOKUP(A23,Table3[],3, FALSE)</f>
        <v>7.4969080277487166E-5</v>
      </c>
      <c r="J23" s="9">
        <f t="shared" si="0"/>
        <v>-6.0087057846359884E-2</v>
      </c>
      <c r="K23" s="12">
        <f t="shared" si="1"/>
        <v>-2.7740743686284017E-2</v>
      </c>
    </row>
    <row r="24" spans="1:11" x14ac:dyDescent="0.15">
      <c r="A24" s="2" t="s">
        <v>30</v>
      </c>
      <c r="B24" s="2" t="s">
        <v>7</v>
      </c>
      <c r="C24" s="2" t="s">
        <v>8</v>
      </c>
      <c r="D24" s="2">
        <v>119.05</v>
      </c>
      <c r="E24" s="2">
        <v>121.99</v>
      </c>
      <c r="F24" s="2">
        <v>107.32</v>
      </c>
      <c r="G24">
        <f t="shared" si="2"/>
        <v>9.3606467021862927E-2</v>
      </c>
      <c r="H24" s="9">
        <f>VLOOKUP(A24,Table2[],3, FALSE)</f>
        <v>0.10754565805086302</v>
      </c>
      <c r="I24" s="9">
        <f>VLOOKUP(A24,Table3[],3, FALSE)</f>
        <v>7.4969080277487166E-5</v>
      </c>
      <c r="J24" s="9">
        <f t="shared" si="0"/>
        <v>9.353149794158544E-2</v>
      </c>
      <c r="K24" s="12">
        <f t="shared" si="1"/>
        <v>0.10747068897058554</v>
      </c>
    </row>
    <row r="25" spans="1:11" x14ac:dyDescent="0.15">
      <c r="A25" s="2" t="s">
        <v>31</v>
      </c>
      <c r="B25" s="2" t="s">
        <v>7</v>
      </c>
      <c r="C25" s="2" t="s">
        <v>8</v>
      </c>
      <c r="D25" s="2">
        <v>132.69</v>
      </c>
      <c r="E25" s="2">
        <v>138.78899999999999</v>
      </c>
      <c r="F25" s="2">
        <v>120.01</v>
      </c>
      <c r="G25">
        <f t="shared" si="2"/>
        <v>0.11457370852582949</v>
      </c>
      <c r="H25" s="9">
        <f>VLOOKUP(A25,Table2[],3, FALSE)</f>
        <v>3.7121406659432372E-2</v>
      </c>
      <c r="I25" s="9">
        <f>VLOOKUP(A25,Table3[],3, FALSE)</f>
        <v>6.6642234708869097E-5</v>
      </c>
      <c r="J25" s="9">
        <f t="shared" si="0"/>
        <v>0.11450706629112062</v>
      </c>
      <c r="K25" s="12">
        <f t="shared" si="1"/>
        <v>3.7054764424723503E-2</v>
      </c>
    </row>
    <row r="26" spans="1:11" x14ac:dyDescent="0.15">
      <c r="A26" s="2" t="s">
        <v>32</v>
      </c>
      <c r="B26" s="2" t="s">
        <v>7</v>
      </c>
      <c r="C26" s="2" t="s">
        <v>8</v>
      </c>
      <c r="D26" s="2">
        <v>131.96</v>
      </c>
      <c r="E26" s="2">
        <v>145.09</v>
      </c>
      <c r="F26" s="2">
        <v>126.38200000000001</v>
      </c>
      <c r="G26">
        <f t="shared" si="2"/>
        <v>-5.5015449544049272E-3</v>
      </c>
      <c r="H26" s="9">
        <f>VLOOKUP(A26,Table2[],3, FALSE)</f>
        <v>-1.1136640158463601E-2</v>
      </c>
      <c r="I26" s="9">
        <f>VLOOKUP(A26,Table3[],3, FALSE)</f>
        <v>6.6642234708869097E-5</v>
      </c>
      <c r="J26" s="9">
        <f t="shared" si="0"/>
        <v>-5.5681871891137963E-3</v>
      </c>
      <c r="K26" s="12">
        <f t="shared" si="1"/>
        <v>-1.120328239317247E-2</v>
      </c>
    </row>
    <row r="27" spans="1:11" x14ac:dyDescent="0.15">
      <c r="A27" s="2" t="s">
        <v>33</v>
      </c>
      <c r="B27" s="2" t="s">
        <v>7</v>
      </c>
      <c r="C27" s="2" t="s">
        <v>8</v>
      </c>
      <c r="D27" s="2">
        <v>121.26</v>
      </c>
      <c r="E27" s="2">
        <v>137.87700000000001</v>
      </c>
      <c r="F27" s="2">
        <v>118.39</v>
      </c>
      <c r="G27">
        <f t="shared" si="2"/>
        <v>-8.1085177326462587E-2</v>
      </c>
      <c r="H27" s="9">
        <f>VLOOKUP(A27,Table2[],3, FALSE)</f>
        <v>2.6091474971999741E-2</v>
      </c>
      <c r="I27" s="9">
        <f>VLOOKUP(A27,Table3[],3, FALSE)</f>
        <v>3.3327223783574667E-5</v>
      </c>
      <c r="J27" s="9">
        <f t="shared" si="0"/>
        <v>-8.1118504550246162E-2</v>
      </c>
      <c r="K27" s="12">
        <f t="shared" si="1"/>
        <v>2.6058147748216166E-2</v>
      </c>
    </row>
    <row r="28" spans="1:11" x14ac:dyDescent="0.15">
      <c r="A28" s="2" t="s">
        <v>34</v>
      </c>
      <c r="B28" s="2" t="s">
        <v>7</v>
      </c>
      <c r="C28" s="2" t="s">
        <v>8</v>
      </c>
      <c r="D28" s="2">
        <v>122.15</v>
      </c>
      <c r="E28" s="2">
        <v>128.72</v>
      </c>
      <c r="F28" s="2">
        <v>116.21</v>
      </c>
      <c r="G28">
        <f t="shared" si="2"/>
        <v>7.3396008576612284E-3</v>
      </c>
      <c r="H28" s="9">
        <f>VLOOKUP(A28,Table2[],3, FALSE)</f>
        <v>4.2438634008107733E-2</v>
      </c>
      <c r="I28" s="9">
        <f>VLOOKUP(A28,Table3[],3, FALSE)</f>
        <v>1.6665139084048874E-5</v>
      </c>
      <c r="J28" s="9">
        <f t="shared" si="0"/>
        <v>7.3229357185771796E-3</v>
      </c>
      <c r="K28" s="12">
        <f t="shared" si="1"/>
        <v>4.2421968869023684E-2</v>
      </c>
    </row>
    <row r="29" spans="1:11" x14ac:dyDescent="0.15">
      <c r="A29" s="2" t="s">
        <v>35</v>
      </c>
      <c r="B29" s="2" t="s">
        <v>7</v>
      </c>
      <c r="C29" s="2" t="s">
        <v>8</v>
      </c>
      <c r="D29" s="2">
        <v>131.46</v>
      </c>
      <c r="E29" s="2">
        <v>137.07</v>
      </c>
      <c r="F29" s="2">
        <v>122.49</v>
      </c>
      <c r="G29">
        <f t="shared" si="2"/>
        <v>7.621776504297996E-2</v>
      </c>
      <c r="H29" s="9">
        <f>VLOOKUP(A29,Table2[],3, FALSE)</f>
        <v>5.2425312555847307E-2</v>
      </c>
      <c r="I29" s="9">
        <f>VLOOKUP(A29,Table3[],3, FALSE)</f>
        <v>1.6665139084048874E-5</v>
      </c>
      <c r="J29" s="9">
        <f t="shared" si="0"/>
        <v>7.6201099903895911E-2</v>
      </c>
      <c r="K29" s="12">
        <f t="shared" si="1"/>
        <v>5.2408647416763258E-2</v>
      </c>
    </row>
    <row r="30" spans="1:11" x14ac:dyDescent="0.15">
      <c r="A30" s="2" t="s">
        <v>36</v>
      </c>
      <c r="B30" s="2" t="s">
        <v>7</v>
      </c>
      <c r="C30" s="2" t="s">
        <v>8</v>
      </c>
      <c r="D30" s="2">
        <v>124.61</v>
      </c>
      <c r="E30" s="2">
        <v>134.07</v>
      </c>
      <c r="F30" s="2">
        <v>122.25</v>
      </c>
      <c r="G30">
        <f t="shared" si="2"/>
        <v>-5.2107104822759834E-2</v>
      </c>
      <c r="H30" s="9">
        <f>VLOOKUP(A30,Table2[],3, FALSE)</f>
        <v>5.4865025818131288E-3</v>
      </c>
      <c r="I30" s="9">
        <f>VLOOKUP(A30,Table3[],3, FALSE)</f>
        <v>8.3329514133367866E-6</v>
      </c>
      <c r="J30" s="9">
        <f t="shared" si="0"/>
        <v>-5.2115437774173171E-2</v>
      </c>
      <c r="K30" s="12">
        <f t="shared" si="1"/>
        <v>5.478169630399792E-3</v>
      </c>
    </row>
    <row r="31" spans="1:11" x14ac:dyDescent="0.15">
      <c r="A31" s="2" t="s">
        <v>37</v>
      </c>
      <c r="B31" s="2" t="s">
        <v>7</v>
      </c>
      <c r="C31" s="2" t="s">
        <v>8</v>
      </c>
      <c r="D31" s="2">
        <v>136.96</v>
      </c>
      <c r="E31" s="2">
        <v>137.41</v>
      </c>
      <c r="F31" s="2">
        <v>123.13</v>
      </c>
      <c r="G31">
        <f t="shared" si="2"/>
        <v>9.9109220768798717E-2</v>
      </c>
      <c r="H31" s="9">
        <f>VLOOKUP(A31,Table2[],3, FALSE)</f>
        <v>2.221397632316955E-2</v>
      </c>
      <c r="I31" s="9">
        <f>VLOOKUP(A31,Table3[],3, FALSE)</f>
        <v>2.4996563158685703E-5</v>
      </c>
      <c r="J31" s="9">
        <f t="shared" si="0"/>
        <v>9.9084224205640031E-2</v>
      </c>
      <c r="K31" s="12">
        <f t="shared" si="1"/>
        <v>2.2188979760010864E-2</v>
      </c>
    </row>
    <row r="32" spans="1:11" x14ac:dyDescent="0.15">
      <c r="A32" s="2" t="s">
        <v>38</v>
      </c>
      <c r="B32" s="2" t="s">
        <v>7</v>
      </c>
      <c r="C32" s="2" t="s">
        <v>8</v>
      </c>
      <c r="D32" s="2">
        <v>145.86000000000001</v>
      </c>
      <c r="E32" s="2">
        <v>150</v>
      </c>
      <c r="F32" s="2">
        <v>135.76</v>
      </c>
      <c r="G32">
        <f t="shared" si="2"/>
        <v>6.4982476635514055E-2</v>
      </c>
      <c r="H32" s="9">
        <f>VLOOKUP(A32,Table2[],3, FALSE)</f>
        <v>2.2748109365910464E-2</v>
      </c>
      <c r="I32" s="9">
        <f>VLOOKUP(A32,Table3[],3, FALSE)</f>
        <v>4.1657121104599071E-5</v>
      </c>
      <c r="J32" s="9">
        <f t="shared" si="0"/>
        <v>6.4940819514409456E-2</v>
      </c>
      <c r="K32" s="12">
        <f t="shared" si="1"/>
        <v>2.2706452244805865E-2</v>
      </c>
    </row>
    <row r="33" spans="1:11" x14ac:dyDescent="0.15">
      <c r="A33" s="2" t="s">
        <v>39</v>
      </c>
      <c r="B33" s="2" t="s">
        <v>7</v>
      </c>
      <c r="C33" s="2" t="s">
        <v>8</v>
      </c>
      <c r="D33" s="2">
        <v>151.83000000000001</v>
      </c>
      <c r="E33" s="2">
        <v>153.49</v>
      </c>
      <c r="F33" s="2">
        <v>144.5</v>
      </c>
      <c r="G33">
        <f t="shared" si="2"/>
        <v>4.092965857671739E-2</v>
      </c>
      <c r="H33" s="9">
        <f>VLOOKUP(A33,Table2[],3, FALSE)</f>
        <v>2.8990321391681052E-2</v>
      </c>
      <c r="I33" s="9">
        <f>VLOOKUP(A33,Table3[],3, FALSE)</f>
        <v>3.3327223783574667E-5</v>
      </c>
      <c r="J33" s="9">
        <f t="shared" si="0"/>
        <v>4.0896331352933815E-2</v>
      </c>
      <c r="K33" s="12">
        <f t="shared" si="1"/>
        <v>2.8956994167897477E-2</v>
      </c>
    </row>
    <row r="34" spans="1:11" x14ac:dyDescent="0.15">
      <c r="A34" s="2" t="s">
        <v>40</v>
      </c>
      <c r="B34" s="2" t="s">
        <v>7</v>
      </c>
      <c r="C34" s="2" t="s">
        <v>8</v>
      </c>
      <c r="D34" s="2">
        <v>141.5</v>
      </c>
      <c r="E34" s="2">
        <v>157.26</v>
      </c>
      <c r="F34" s="2">
        <v>141.27000000000001</v>
      </c>
      <c r="G34">
        <f t="shared" si="2"/>
        <v>-6.8036619903839898E-2</v>
      </c>
      <c r="H34" s="9">
        <f>VLOOKUP(A34,Table2[],3, FALSE)</f>
        <v>-4.7569140421166278E-2</v>
      </c>
      <c r="I34" s="9">
        <f>VLOOKUP(A34,Table3[],3, FALSE)</f>
        <v>4.1657121104599071E-5</v>
      </c>
      <c r="J34" s="9">
        <f t="shared" si="0"/>
        <v>-6.8078277024944497E-2</v>
      </c>
      <c r="K34" s="12">
        <f t="shared" si="1"/>
        <v>-4.7610797542270877E-2</v>
      </c>
    </row>
    <row r="35" spans="1:11" x14ac:dyDescent="0.15">
      <c r="A35" s="2" t="s">
        <v>41</v>
      </c>
      <c r="B35" s="2" t="s">
        <v>7</v>
      </c>
      <c r="C35" s="2" t="s">
        <v>8</v>
      </c>
      <c r="D35" s="2">
        <v>149.80000000000001</v>
      </c>
      <c r="E35" s="2">
        <v>153.16499999999999</v>
      </c>
      <c r="F35" s="2">
        <v>138.27000000000001</v>
      </c>
      <c r="G35">
        <f t="shared" si="2"/>
        <v>5.8657243816254499E-2</v>
      </c>
      <c r="H35" s="9">
        <f>VLOOKUP(A35,Table2[],3, FALSE)</f>
        <v>6.9143873301234615E-2</v>
      </c>
      <c r="I35" s="9">
        <f>VLOOKUP(A35,Table3[],3, FALSE)</f>
        <v>4.99862552685304E-5</v>
      </c>
      <c r="J35" s="9">
        <f t="shared" si="0"/>
        <v>5.8607257560985969E-2</v>
      </c>
      <c r="K35" s="12">
        <f t="shared" si="1"/>
        <v>6.9093887045966085E-2</v>
      </c>
    </row>
    <row r="36" spans="1:11" x14ac:dyDescent="0.15">
      <c r="A36" s="2" t="s">
        <v>42</v>
      </c>
      <c r="B36" s="2" t="s">
        <v>7</v>
      </c>
      <c r="C36" s="2" t="s">
        <v>8</v>
      </c>
      <c r="D36" s="2">
        <v>165.3</v>
      </c>
      <c r="E36" s="2">
        <v>165.7</v>
      </c>
      <c r="F36" s="2">
        <v>147.47999999999999</v>
      </c>
      <c r="G36">
        <f t="shared" si="2"/>
        <v>0.1034712950600801</v>
      </c>
      <c r="H36" s="9">
        <f>VLOOKUP(A36,Table2[],3, FALSE)</f>
        <v>-8.3337314184714628E-3</v>
      </c>
      <c r="I36" s="9">
        <f>VLOOKUP(A36,Table3[],3, FALSE)</f>
        <v>5.8314626421251958E-5</v>
      </c>
      <c r="J36" s="9">
        <f t="shared" si="0"/>
        <v>0.10341298043365885</v>
      </c>
      <c r="K36" s="12">
        <f t="shared" si="1"/>
        <v>-8.3920460448927148E-3</v>
      </c>
    </row>
    <row r="37" spans="1:11" x14ac:dyDescent="0.15">
      <c r="A37" s="2" t="s">
        <v>43</v>
      </c>
      <c r="B37" s="2" t="s">
        <v>7</v>
      </c>
      <c r="C37" s="2" t="s">
        <v>8</v>
      </c>
      <c r="D37" s="2">
        <v>177.57</v>
      </c>
      <c r="E37" s="2">
        <v>182.13</v>
      </c>
      <c r="F37" s="2">
        <v>157.80000000000001</v>
      </c>
      <c r="G37">
        <f t="shared" si="2"/>
        <v>7.4228675136116043E-2</v>
      </c>
      <c r="H37" s="9">
        <f>VLOOKUP(A37,Table2[],3, FALSE)</f>
        <v>4.3612874972629799E-2</v>
      </c>
      <c r="I37" s="9">
        <f>VLOOKUP(A37,Table3[],3, FALSE)</f>
        <v>3.3327223783574667E-5</v>
      </c>
      <c r="J37" s="9">
        <f t="shared" si="0"/>
        <v>7.4195347912332468E-2</v>
      </c>
      <c r="K37" s="12">
        <f t="shared" si="1"/>
        <v>4.3579547748846224E-2</v>
      </c>
    </row>
    <row r="38" spans="1:11" x14ac:dyDescent="0.15">
      <c r="A38" s="2" t="s">
        <v>44</v>
      </c>
      <c r="B38" s="2" t="s">
        <v>7</v>
      </c>
      <c r="C38" s="2" t="s">
        <v>8</v>
      </c>
      <c r="D38" s="2">
        <v>174.78</v>
      </c>
      <c r="E38" s="2">
        <v>182.94</v>
      </c>
      <c r="F38" s="2">
        <v>154.69999999999999</v>
      </c>
      <c r="G38">
        <f t="shared" si="2"/>
        <v>-1.571211353269129E-2</v>
      </c>
      <c r="H38" s="9">
        <f>VLOOKUP(A38,Table2[],3, FALSE)</f>
        <v>-5.2585089106999758E-2</v>
      </c>
      <c r="I38" s="9">
        <f>VLOOKUP(A38,Table3[],3, FALSE)</f>
        <v>4.1657121104599071E-5</v>
      </c>
      <c r="J38" s="9">
        <f t="shared" si="0"/>
        <v>-1.5753770653795889E-2</v>
      </c>
      <c r="K38" s="12">
        <f t="shared" si="1"/>
        <v>-5.2626746228104357E-2</v>
      </c>
    </row>
    <row r="39" spans="1:11" x14ac:dyDescent="0.15">
      <c r="A39" s="2" t="s">
        <v>45</v>
      </c>
      <c r="B39" s="2" t="s">
        <v>7</v>
      </c>
      <c r="C39" s="2" t="s">
        <v>8</v>
      </c>
      <c r="D39" s="2">
        <v>165.12</v>
      </c>
      <c r="E39" s="2">
        <v>176.65</v>
      </c>
      <c r="F39" s="2">
        <v>152</v>
      </c>
      <c r="G39">
        <f t="shared" si="2"/>
        <v>-5.5269481634054221E-2</v>
      </c>
      <c r="H39" s="9">
        <f>VLOOKUP(A39,Table2[],3, FALSE)</f>
        <v>-3.136052086678269E-2</v>
      </c>
      <c r="I39" s="9">
        <f>VLOOKUP(A39,Table3[],3, FALSE)</f>
        <v>3.3327223783574667E-5</v>
      </c>
      <c r="J39" s="9">
        <f t="shared" si="0"/>
        <v>-5.5302808857837796E-2</v>
      </c>
      <c r="K39" s="12">
        <f t="shared" si="1"/>
        <v>-3.1393848090566265E-2</v>
      </c>
    </row>
    <row r="40" spans="1:11" x14ac:dyDescent="0.15">
      <c r="A40" s="2" t="s">
        <v>46</v>
      </c>
      <c r="B40" s="2" t="s">
        <v>7</v>
      </c>
      <c r="C40" s="2" t="s">
        <v>8</v>
      </c>
      <c r="D40" s="2">
        <v>174.61</v>
      </c>
      <c r="E40" s="2">
        <v>179.61</v>
      </c>
      <c r="F40" s="2">
        <v>150.1</v>
      </c>
      <c r="G40">
        <f t="shared" si="2"/>
        <v>5.7473352713178348E-2</v>
      </c>
      <c r="H40" s="9">
        <f>VLOOKUP(A40,Table2[],3, FALSE)</f>
        <v>3.5773238773279988E-2</v>
      </c>
      <c r="I40" s="9">
        <f>VLOOKUP(A40,Table3[],3, FALSE)</f>
        <v>1.4987639212593606E-4</v>
      </c>
      <c r="J40" s="9">
        <f t="shared" si="0"/>
        <v>5.7323476321052412E-2</v>
      </c>
      <c r="K40" s="12">
        <f t="shared" si="1"/>
        <v>3.5623362381154051E-2</v>
      </c>
    </row>
    <row r="41" spans="1:11" x14ac:dyDescent="0.15">
      <c r="A41" s="2" t="s">
        <v>47</v>
      </c>
      <c r="B41" s="2" t="s">
        <v>7</v>
      </c>
      <c r="C41" s="2" t="s">
        <v>8</v>
      </c>
      <c r="D41" s="2">
        <v>157.65</v>
      </c>
      <c r="E41" s="2">
        <v>178.49</v>
      </c>
      <c r="F41" s="2">
        <v>155.38</v>
      </c>
      <c r="G41">
        <f t="shared" si="2"/>
        <v>-9.7130748525284957E-2</v>
      </c>
      <c r="H41" s="9">
        <f>VLOOKUP(A41,Table2[],3, FALSE)</f>
        <v>-8.7956719149039395E-2</v>
      </c>
      <c r="I41" s="9">
        <f>VLOOKUP(A41,Table3[],3, FALSE)</f>
        <v>2.5796701004310307E-4</v>
      </c>
      <c r="J41" s="9">
        <f t="shared" si="0"/>
        <v>-9.738871553532806E-2</v>
      </c>
      <c r="K41" s="12">
        <f t="shared" si="1"/>
        <v>-8.8214686159082498E-2</v>
      </c>
    </row>
    <row r="42" spans="1:11" x14ac:dyDescent="0.15">
      <c r="A42" s="2" t="s">
        <v>48</v>
      </c>
      <c r="B42" s="2" t="s">
        <v>7</v>
      </c>
      <c r="C42" s="2" t="s">
        <v>8</v>
      </c>
      <c r="D42" s="2">
        <v>148.84</v>
      </c>
      <c r="E42" s="2">
        <v>166.48</v>
      </c>
      <c r="F42" s="2">
        <v>132.61000000000001</v>
      </c>
      <c r="G42">
        <f t="shared" si="2"/>
        <v>-5.5883285759594052E-2</v>
      </c>
      <c r="H42" s="9">
        <f>VLOOKUP(A42,Table2[],3, FALSE)</f>
        <v>5.3243883608711947E-5</v>
      </c>
      <c r="I42" s="9">
        <f>VLOOKUP(A42,Table3[],3, FALSE)</f>
        <v>4.8205321330185846E-4</v>
      </c>
      <c r="J42" s="9">
        <f t="shared" si="0"/>
        <v>-5.6365338972895911E-2</v>
      </c>
      <c r="K42" s="12">
        <f t="shared" si="1"/>
        <v>-4.2880932969314653E-4</v>
      </c>
    </row>
    <row r="43" spans="1:11" x14ac:dyDescent="0.15">
      <c r="A43" s="2" t="s">
        <v>49</v>
      </c>
      <c r="B43" s="2" t="s">
        <v>7</v>
      </c>
      <c r="C43" s="2" t="s">
        <v>8</v>
      </c>
      <c r="D43" s="2">
        <v>136.72</v>
      </c>
      <c r="E43" s="2">
        <v>151.74</v>
      </c>
      <c r="F43" s="2">
        <v>129.04</v>
      </c>
      <c r="G43">
        <f t="shared" si="2"/>
        <v>-8.1429723192690165E-2</v>
      </c>
      <c r="H43" s="9">
        <f>VLOOKUP(A43,Table2[],3, FALSE)</f>
        <v>-8.391999322386641E-2</v>
      </c>
      <c r="I43" s="9">
        <f>VLOOKUP(A43,Table3[],3, FALSE)</f>
        <v>8.7907064595027506E-4</v>
      </c>
      <c r="J43" s="9">
        <f t="shared" si="0"/>
        <v>-8.230879383864044E-2</v>
      </c>
      <c r="K43" s="12">
        <f t="shared" si="1"/>
        <v>-8.4799063869816685E-2</v>
      </c>
    </row>
    <row r="44" spans="1:11" x14ac:dyDescent="0.15">
      <c r="A44" s="2" t="s">
        <v>50</v>
      </c>
      <c r="B44" s="2" t="s">
        <v>7</v>
      </c>
      <c r="C44" s="2" t="s">
        <v>8</v>
      </c>
      <c r="D44" s="2">
        <v>162.51</v>
      </c>
      <c r="E44" s="2">
        <v>163.63</v>
      </c>
      <c r="F44" s="2">
        <v>135.66</v>
      </c>
      <c r="G44">
        <f t="shared" si="2"/>
        <v>0.18863370392042125</v>
      </c>
      <c r="H44" s="9">
        <f>VLOOKUP(A44,Table2[],3, FALSE)</f>
        <v>9.1116347632205968E-2</v>
      </c>
      <c r="I44" s="9">
        <f>VLOOKUP(A44,Table3[],3, FALSE)</f>
        <v>1.5287470679612447E-3</v>
      </c>
      <c r="J44" s="9">
        <f t="shared" si="0"/>
        <v>0.18710495685246001</v>
      </c>
      <c r="K44" s="12">
        <f t="shared" si="1"/>
        <v>8.9587600564244724E-2</v>
      </c>
    </row>
    <row r="45" spans="1:11" x14ac:dyDescent="0.15">
      <c r="A45" s="2" t="s">
        <v>51</v>
      </c>
      <c r="B45" s="2" t="s">
        <v>7</v>
      </c>
      <c r="C45" s="2" t="s">
        <v>8</v>
      </c>
      <c r="D45" s="2">
        <v>157.22</v>
      </c>
      <c r="E45" s="2">
        <v>176.15</v>
      </c>
      <c r="F45" s="2">
        <v>157.13999999999999</v>
      </c>
      <c r="G45">
        <f t="shared" si="2"/>
        <v>-3.2551842963509887E-2</v>
      </c>
      <c r="H45" s="9">
        <f>VLOOKUP(A45,Table2[],3, FALSE)</f>
        <v>-4.2440119216810436E-2</v>
      </c>
      <c r="I45" s="9">
        <f>VLOOKUP(A45,Table3[],3, FALSE)</f>
        <v>1.8804294971668245E-3</v>
      </c>
      <c r="J45" s="9">
        <f t="shared" si="0"/>
        <v>-3.4432272460676712E-2</v>
      </c>
      <c r="K45" s="12">
        <f t="shared" si="1"/>
        <v>-4.4320548713977261E-2</v>
      </c>
    </row>
    <row r="46" spans="1:11" x14ac:dyDescent="0.15">
      <c r="A46" s="2" t="s">
        <v>52</v>
      </c>
      <c r="B46" s="2" t="s">
        <v>7</v>
      </c>
      <c r="C46" s="2" t="s">
        <v>8</v>
      </c>
      <c r="D46" s="2">
        <v>138.19999999999999</v>
      </c>
      <c r="E46" s="2">
        <v>164.26</v>
      </c>
      <c r="F46" s="2">
        <v>138</v>
      </c>
      <c r="G46">
        <f t="shared" si="2"/>
        <v>-0.12097697493957518</v>
      </c>
      <c r="H46" s="9">
        <f>VLOOKUP(A46,Table2[],3, FALSE)</f>
        <v>-9.3395701643489287E-2</v>
      </c>
      <c r="I46" s="9">
        <f>VLOOKUP(A46,Table3[],3, FALSE)</f>
        <v>2.1494073283745418E-3</v>
      </c>
      <c r="J46" s="9">
        <f t="shared" si="0"/>
        <v>-0.12312638226794972</v>
      </c>
      <c r="K46" s="12">
        <f t="shared" si="1"/>
        <v>-9.5545108971863829E-2</v>
      </c>
    </row>
    <row r="47" spans="1:11" x14ac:dyDescent="0.15">
      <c r="A47" s="2" t="s">
        <v>53</v>
      </c>
      <c r="B47" s="2" t="s">
        <v>7</v>
      </c>
      <c r="C47" s="2" t="s">
        <v>8</v>
      </c>
      <c r="D47" s="2">
        <v>153.34</v>
      </c>
      <c r="E47" s="2">
        <v>157.5</v>
      </c>
      <c r="F47" s="2">
        <v>134.37</v>
      </c>
      <c r="G47">
        <f t="shared" si="2"/>
        <v>0.10955137481910286</v>
      </c>
      <c r="H47" s="9">
        <f>VLOOKUP(A47,Table2[],3, FALSE)</f>
        <v>7.9863454576893297E-2</v>
      </c>
      <c r="I47" s="9">
        <f>VLOOKUP(A47,Table3[],3, FALSE)</f>
        <v>2.7254391280759904E-3</v>
      </c>
      <c r="J47" s="9">
        <f t="shared" si="0"/>
        <v>0.10682593569102687</v>
      </c>
      <c r="K47" s="12">
        <f t="shared" si="1"/>
        <v>7.7138015448817307E-2</v>
      </c>
    </row>
    <row r="48" spans="1:11" x14ac:dyDescent="0.15">
      <c r="A48" s="2" t="s">
        <v>54</v>
      </c>
      <c r="B48" s="2" t="s">
        <v>7</v>
      </c>
      <c r="C48" s="2" t="s">
        <v>8</v>
      </c>
      <c r="D48" s="2">
        <v>148.03</v>
      </c>
      <c r="E48" s="2">
        <v>155.44999999999999</v>
      </c>
      <c r="F48" s="2">
        <v>134.38</v>
      </c>
      <c r="G48">
        <f t="shared" si="2"/>
        <v>-3.4628929176992319E-2</v>
      </c>
      <c r="H48" s="9">
        <f>VLOOKUP(A48,Table2[],3, FALSE)</f>
        <v>5.375286029369989E-2</v>
      </c>
      <c r="I48" s="9">
        <f>VLOOKUP(A48,Table3[],3, FALSE)</f>
        <v>3.1691721789193217E-3</v>
      </c>
      <c r="J48" s="9">
        <f t="shared" si="0"/>
        <v>-3.7798101355911641E-2</v>
      </c>
      <c r="K48" s="12">
        <f t="shared" si="1"/>
        <v>5.0583688114780569E-2</v>
      </c>
    </row>
    <row r="49" spans="1:11" x14ac:dyDescent="0.15">
      <c r="A49" s="2" t="s">
        <v>55</v>
      </c>
      <c r="B49" s="2" t="s">
        <v>7</v>
      </c>
      <c r="C49" s="2" t="s">
        <v>8</v>
      </c>
      <c r="D49" s="2">
        <v>129.93</v>
      </c>
      <c r="E49" s="2">
        <v>150.91990000000001</v>
      </c>
      <c r="F49" s="2">
        <v>125.87</v>
      </c>
      <c r="G49">
        <f t="shared" si="2"/>
        <v>-0.12227251232858201</v>
      </c>
      <c r="H49" s="9">
        <f>VLOOKUP(A49,Table2[],3, FALSE)</f>
        <v>-5.897144929916108E-2</v>
      </c>
      <c r="I49" s="9">
        <f>VLOOKUP(A49,Table3[],3, FALSE)</f>
        <v>3.1933138078821255E-3</v>
      </c>
      <c r="J49" s="9">
        <f t="shared" si="0"/>
        <v>-0.12546582613646412</v>
      </c>
      <c r="K49" s="12">
        <f t="shared" si="1"/>
        <v>-6.2164763107043206E-2</v>
      </c>
    </row>
    <row r="50" spans="1:11" x14ac:dyDescent="0.15">
      <c r="A50" s="2" t="s">
        <v>56</v>
      </c>
      <c r="B50" s="2" t="s">
        <v>7</v>
      </c>
      <c r="C50" s="2" t="s">
        <v>8</v>
      </c>
      <c r="D50" s="2">
        <v>144.29</v>
      </c>
      <c r="E50" s="2">
        <v>147.22999999999999</v>
      </c>
      <c r="F50" s="2">
        <v>124.17</v>
      </c>
      <c r="G50">
        <f t="shared" si="2"/>
        <v>0.11052104979604391</v>
      </c>
      <c r="H50" s="9">
        <f>VLOOKUP(A50,Table2[],3, FALSE)</f>
        <v>6.1752832400052068E-2</v>
      </c>
      <c r="I50" s="9">
        <f>VLOOKUP(A50,Table3[],3, FALSE)</f>
        <v>3.690815569153072E-3</v>
      </c>
      <c r="J50" s="9">
        <f t="shared" si="0"/>
        <v>0.10683023422689084</v>
      </c>
      <c r="K50" s="12">
        <f t="shared" si="1"/>
        <v>5.8062016830898996E-2</v>
      </c>
    </row>
    <row r="51" spans="1:11" x14ac:dyDescent="0.15">
      <c r="A51" s="2" t="s">
        <v>57</v>
      </c>
      <c r="B51" s="2" t="s">
        <v>7</v>
      </c>
      <c r="C51" s="2" t="s">
        <v>8</v>
      </c>
      <c r="D51" s="2">
        <v>147.41</v>
      </c>
      <c r="E51" s="2">
        <v>157.38</v>
      </c>
      <c r="F51" s="2">
        <v>141.32</v>
      </c>
      <c r="G51">
        <f t="shared" si="2"/>
        <v>2.1623120105343438E-2</v>
      </c>
      <c r="H51" s="9">
        <f>VLOOKUP(A51,Table2[],3, FALSE)</f>
        <v>-2.6112446646715356E-2</v>
      </c>
      <c r="I51" s="9">
        <f>VLOOKUP(A51,Table3[],3, FALSE)</f>
        <v>3.7867936638156241E-3</v>
      </c>
      <c r="J51" s="9">
        <f t="shared" si="0"/>
        <v>1.7836326441527814E-2</v>
      </c>
      <c r="K51" s="12">
        <f t="shared" si="1"/>
        <v>-2.989924031053098E-2</v>
      </c>
    </row>
    <row r="52" spans="1:11" x14ac:dyDescent="0.15">
      <c r="A52" s="2" t="s">
        <v>58</v>
      </c>
      <c r="B52" s="2" t="s">
        <v>7</v>
      </c>
      <c r="C52" s="2" t="s">
        <v>8</v>
      </c>
      <c r="D52" s="2">
        <v>164.9</v>
      </c>
      <c r="E52" s="2">
        <v>165</v>
      </c>
      <c r="F52" s="2">
        <v>143.9</v>
      </c>
      <c r="G52">
        <f t="shared" si="2"/>
        <v>0.11864866698324408</v>
      </c>
      <c r="H52" s="9">
        <f>VLOOKUP(A52,Table2[],3, FALSE)</f>
        <v>3.5051572358727079E-2</v>
      </c>
      <c r="I52" s="9">
        <f>VLOOKUP(A52,Table3[],3, FALSE)</f>
        <v>3.6668052630131065E-3</v>
      </c>
      <c r="J52" s="9">
        <f t="shared" si="0"/>
        <v>0.11498186172023098</v>
      </c>
      <c r="K52" s="12">
        <f t="shared" si="1"/>
        <v>3.1384767095713972E-2</v>
      </c>
    </row>
    <row r="53" spans="1:11" x14ac:dyDescent="0.15">
      <c r="A53" s="2" t="s">
        <v>59</v>
      </c>
      <c r="B53" s="2" t="s">
        <v>7</v>
      </c>
      <c r="C53" s="2" t="s">
        <v>8</v>
      </c>
      <c r="D53" s="2">
        <v>169.68</v>
      </c>
      <c r="E53" s="2">
        <v>169.85</v>
      </c>
      <c r="F53" s="2">
        <v>159.78</v>
      </c>
      <c r="G53">
        <f t="shared" si="2"/>
        <v>2.8987265009096427E-2</v>
      </c>
      <c r="H53" s="9">
        <f>VLOOKUP(A53,Table2[],3, FALSE)</f>
        <v>1.4642360882970416E-2</v>
      </c>
      <c r="I53" s="9">
        <f>VLOOKUP(A53,Table3[],3, FALSE)</f>
        <v>3.4103013914235092E-3</v>
      </c>
      <c r="J53" s="9">
        <f t="shared" si="0"/>
        <v>2.5576963617672917E-2</v>
      </c>
      <c r="K53" s="12">
        <f t="shared" si="1"/>
        <v>1.1232059491546906E-2</v>
      </c>
    </row>
    <row r="54" spans="1:11" x14ac:dyDescent="0.15">
      <c r="A54" s="2" t="s">
        <v>60</v>
      </c>
      <c r="B54" s="2" t="s">
        <v>7</v>
      </c>
      <c r="C54" s="2" t="s">
        <v>8</v>
      </c>
      <c r="D54" s="2">
        <v>177.25</v>
      </c>
      <c r="E54" s="2">
        <v>179.35</v>
      </c>
      <c r="F54" s="2">
        <v>164.31</v>
      </c>
      <c r="G54">
        <f t="shared" si="2"/>
        <v>4.4613389910419569E-2</v>
      </c>
      <c r="H54" s="9">
        <f>VLOOKUP(A54,Table2[],3, FALSE)</f>
        <v>2.4823239348792572E-3</v>
      </c>
      <c r="I54" s="9">
        <f>VLOOKUP(A54,Table3[],3, FALSE)</f>
        <v>4.463764356697375E-3</v>
      </c>
      <c r="J54" s="9">
        <f t="shared" si="0"/>
        <v>4.0149625553722194E-2</v>
      </c>
      <c r="K54" s="12">
        <f t="shared" si="1"/>
        <v>-1.9814404218181179E-3</v>
      </c>
    </row>
    <row r="55" spans="1:11" x14ac:dyDescent="0.15">
      <c r="A55" s="2" t="s">
        <v>61</v>
      </c>
      <c r="B55" s="2" t="s">
        <v>7</v>
      </c>
      <c r="C55" s="2" t="s">
        <v>8</v>
      </c>
      <c r="D55" s="2">
        <v>193.97</v>
      </c>
      <c r="E55" s="2">
        <v>194.48</v>
      </c>
      <c r="F55" s="2">
        <v>176.9306</v>
      </c>
      <c r="G55">
        <f t="shared" si="2"/>
        <v>9.4330042313117063E-2</v>
      </c>
      <c r="H55" s="9">
        <f>VLOOKUP(A55,Table2[],3, FALSE)</f>
        <v>6.4727512841431398E-2</v>
      </c>
      <c r="I55" s="9">
        <f>VLOOKUP(A55,Table3[],3, FALSE)</f>
        <v>4.2333616592649115E-3</v>
      </c>
      <c r="J55" s="9">
        <f t="shared" si="0"/>
        <v>9.0096680653852151E-2</v>
      </c>
      <c r="K55" s="12">
        <f t="shared" si="1"/>
        <v>6.0494151182166486E-2</v>
      </c>
    </row>
    <row r="56" spans="1:11" x14ac:dyDescent="0.15">
      <c r="A56" s="2" t="s">
        <v>62</v>
      </c>
      <c r="B56" s="2" t="s">
        <v>7</v>
      </c>
      <c r="C56" s="2" t="s">
        <v>8</v>
      </c>
      <c r="D56" s="2">
        <v>196.45</v>
      </c>
      <c r="E56" s="2">
        <v>198.23</v>
      </c>
      <c r="F56" s="2">
        <v>186.6</v>
      </c>
      <c r="G56">
        <f t="shared" si="2"/>
        <v>1.2785482291075886E-2</v>
      </c>
      <c r="H56" s="9">
        <f>VLOOKUP(A56,Table2[],3, FALSE)</f>
        <v>3.1138913980379185E-2</v>
      </c>
      <c r="I56" s="9">
        <f>VLOOKUP(A56,Table3[],3, FALSE)</f>
        <v>4.3843808093919634E-3</v>
      </c>
      <c r="J56" s="9">
        <f t="shared" si="0"/>
        <v>8.401101481683923E-3</v>
      </c>
      <c r="K56" s="12">
        <f t="shared" si="1"/>
        <v>2.6754533170987221E-2</v>
      </c>
    </row>
    <row r="57" spans="1:11" x14ac:dyDescent="0.15">
      <c r="A57" s="2" t="s">
        <v>63</v>
      </c>
      <c r="B57" s="2" t="s">
        <v>7</v>
      </c>
      <c r="C57" s="2" t="s">
        <v>8</v>
      </c>
      <c r="D57" s="2">
        <v>187.87</v>
      </c>
      <c r="E57" s="2">
        <v>196.73</v>
      </c>
      <c r="F57" s="2">
        <v>171.96</v>
      </c>
      <c r="G57">
        <f t="shared" si="2"/>
        <v>-4.367523542886223E-2</v>
      </c>
      <c r="H57" s="9">
        <f>VLOOKUP(A57,Table2[],3, FALSE)</f>
        <v>-1.7716432481433741E-2</v>
      </c>
      <c r="I57" s="9">
        <f>VLOOKUP(A57,Table3[],3, FALSE)</f>
        <v>4.5034302658089054E-3</v>
      </c>
      <c r="J57" s="9">
        <f t="shared" si="0"/>
        <v>-4.8178665694671136E-2</v>
      </c>
      <c r="K57" s="12">
        <f t="shared" si="1"/>
        <v>-2.2219862747242646E-2</v>
      </c>
    </row>
    <row r="58" spans="1:11" x14ac:dyDescent="0.15">
      <c r="A58" s="2" t="s">
        <v>64</v>
      </c>
      <c r="B58" s="2" t="s">
        <v>7</v>
      </c>
      <c r="C58" s="2" t="s">
        <v>8</v>
      </c>
      <c r="D58" s="2">
        <v>171.21</v>
      </c>
      <c r="E58" s="2">
        <v>189.98</v>
      </c>
      <c r="F58" s="2">
        <v>167.62</v>
      </c>
      <c r="G58">
        <f t="shared" si="2"/>
        <v>-8.8678341406291564E-2</v>
      </c>
      <c r="H58" s="9">
        <f>VLOOKUP(A58,Table2[],3, FALSE)</f>
        <v>-4.8719291162155016E-2</v>
      </c>
      <c r="I58" s="9">
        <f>VLOOKUP(A58,Table3[],3, FALSE)</f>
        <v>4.4954984622596061E-3</v>
      </c>
      <c r="J58" s="9">
        <f t="shared" si="0"/>
        <v>-9.317383986855117E-2</v>
      </c>
      <c r="K58" s="12">
        <f t="shared" si="1"/>
        <v>-5.3214789624414623E-2</v>
      </c>
    </row>
    <row r="59" spans="1:11" x14ac:dyDescent="0.15">
      <c r="A59" s="2" t="s">
        <v>65</v>
      </c>
      <c r="B59" s="2" t="s">
        <v>7</v>
      </c>
      <c r="C59" s="2" t="s">
        <v>8</v>
      </c>
      <c r="D59" s="2">
        <v>170.77</v>
      </c>
      <c r="E59" s="2">
        <v>182.34</v>
      </c>
      <c r="F59" s="2">
        <v>165.67</v>
      </c>
      <c r="G59">
        <f t="shared" si="2"/>
        <v>-2.5699433444308028E-3</v>
      </c>
      <c r="H59" s="9">
        <f>VLOOKUP(A59,Table2[],3, FALSE)</f>
        <v>-2.1979687736850082E-2</v>
      </c>
      <c r="I59" s="9">
        <f>VLOOKUP(A59,Table3[],3, FALSE)</f>
        <v>4.5272215436409358E-3</v>
      </c>
      <c r="J59" s="9">
        <f t="shared" si="0"/>
        <v>-7.097164888071739E-3</v>
      </c>
      <c r="K59" s="12">
        <f t="shared" si="1"/>
        <v>-2.6506909280491018E-2</v>
      </c>
    </row>
    <row r="60" spans="1:11" x14ac:dyDescent="0.15">
      <c r="A60" s="2" t="s">
        <v>66</v>
      </c>
      <c r="B60" s="2" t="s">
        <v>7</v>
      </c>
      <c r="C60" s="2" t="s">
        <v>8</v>
      </c>
      <c r="D60" s="2">
        <v>189.95</v>
      </c>
      <c r="E60" s="2">
        <v>192.93</v>
      </c>
      <c r="F60" s="2">
        <v>170.12</v>
      </c>
      <c r="G60">
        <f t="shared" si="2"/>
        <v>0.11231480939275035</v>
      </c>
      <c r="H60" s="9">
        <f>VLOOKUP(A60,Table2[],3, FALSE)</f>
        <v>8.9179264628737653E-2</v>
      </c>
      <c r="I60" s="9">
        <f>VLOOKUP(A60,Table3[],3, FALSE)</f>
        <v>4.4954984622596061E-3</v>
      </c>
      <c r="J60" s="9">
        <f t="shared" si="0"/>
        <v>0.10781931093049074</v>
      </c>
      <c r="K60" s="12">
        <f t="shared" si="1"/>
        <v>8.4683766166478047E-2</v>
      </c>
    </row>
    <row r="61" spans="1:11" x14ac:dyDescent="0.15">
      <c r="A61" s="2" t="s">
        <v>67</v>
      </c>
      <c r="B61" s="2" t="s">
        <v>7</v>
      </c>
      <c r="C61" s="2" t="s">
        <v>8</v>
      </c>
      <c r="D61" s="2">
        <v>192.53</v>
      </c>
      <c r="E61" s="2">
        <v>199.62</v>
      </c>
      <c r="F61" s="2">
        <v>187.4511</v>
      </c>
      <c r="G61">
        <f t="shared" si="2"/>
        <v>1.3582521716241183E-2</v>
      </c>
      <c r="H61" s="9">
        <f>VLOOKUP(A61,Table2[],3, FALSE)</f>
        <v>4.4229169403213746E-2</v>
      </c>
      <c r="I61" s="9">
        <f>VLOOKUP(A61,Table3[],3, FALSE)</f>
        <v>4.5034302658089054E-3</v>
      </c>
      <c r="J61" s="9">
        <f t="shared" si="0"/>
        <v>9.0790914504322775E-3</v>
      </c>
      <c r="K61" s="12">
        <f t="shared" si="1"/>
        <v>3.972573913740484E-2</v>
      </c>
    </row>
    <row r="62" spans="1:11" x14ac:dyDescent="0.15">
      <c r="A62" s="2" t="s">
        <v>68</v>
      </c>
      <c r="B62" s="2" t="s">
        <v>7</v>
      </c>
      <c r="C62" s="2" t="s">
        <v>8</v>
      </c>
      <c r="D62" s="2">
        <v>184.4</v>
      </c>
      <c r="E62" s="2">
        <v>196.38</v>
      </c>
      <c r="F62" s="2">
        <v>180.17</v>
      </c>
      <c r="G62">
        <f t="shared" si="2"/>
        <v>-4.2227185373707968E-2</v>
      </c>
      <c r="H62" s="9">
        <f>VLOOKUP(A62,Table2[],3, FALSE)</f>
        <v>1.5895744712075631E-2</v>
      </c>
      <c r="I62" s="9">
        <f>VLOOKUP(A62,Table3[],3, FALSE)</f>
        <v>4.5034302658089054E-3</v>
      </c>
      <c r="J62" s="9">
        <f t="shared" si="0"/>
        <v>-4.6730615639516873E-2</v>
      </c>
      <c r="K62" s="12">
        <f t="shared" si="1"/>
        <v>1.1392314446266726E-2</v>
      </c>
    </row>
    <row r="63" spans="1:11" x14ac:dyDescent="0.15">
      <c r="A63" s="2" t="s">
        <v>69</v>
      </c>
      <c r="B63" s="2" t="s">
        <v>7</v>
      </c>
      <c r="C63" s="2" t="s">
        <v>8</v>
      </c>
      <c r="D63" s="2">
        <v>180.75</v>
      </c>
      <c r="E63" s="2">
        <v>191.05</v>
      </c>
      <c r="F63" s="2">
        <v>179.25</v>
      </c>
      <c r="G63">
        <f t="shared" si="2"/>
        <v>-1.9793926247288533E-2</v>
      </c>
      <c r="H63" s="9">
        <f>VLOOKUP(A63,Table2[],3, FALSE)</f>
        <v>5.1720615397315289E-2</v>
      </c>
      <c r="I63" s="9">
        <f>VLOOKUP(A63,Table3[],3, FALSE)</f>
        <v>4.463764356697375E-3</v>
      </c>
      <c r="J63" s="9">
        <f t="shared" si="0"/>
        <v>-2.4257690603985908E-2</v>
      </c>
      <c r="K63" s="12">
        <f t="shared" si="1"/>
        <v>4.7256851040617914E-2</v>
      </c>
    </row>
    <row r="64" spans="1:11" x14ac:dyDescent="0.15">
      <c r="A64" s="2" t="s">
        <v>70</v>
      </c>
      <c r="B64" s="2" t="s">
        <v>7</v>
      </c>
      <c r="C64" s="2" t="s">
        <v>8</v>
      </c>
      <c r="D64" s="2">
        <v>171.48</v>
      </c>
      <c r="E64" s="2">
        <v>180.53</v>
      </c>
      <c r="F64" s="2">
        <v>168.49</v>
      </c>
      <c r="G64">
        <f t="shared" si="2"/>
        <v>-5.1286307053941965E-2</v>
      </c>
      <c r="H64" s="9">
        <f>VLOOKUP(A64,Table2[],3, FALSE)</f>
        <v>3.1018764704381814E-2</v>
      </c>
      <c r="I64" s="9">
        <f>VLOOKUP(A64,Table3[],3, FALSE)</f>
        <v>4.4796327880016751E-3</v>
      </c>
      <c r="J64" s="9">
        <f t="shared" si="0"/>
        <v>-5.576593984194364E-2</v>
      </c>
      <c r="K64" s="12">
        <f t="shared" si="1"/>
        <v>2.6539131916380139E-2</v>
      </c>
    </row>
    <row r="65" spans="1:11" x14ac:dyDescent="0.15">
      <c r="A65" s="2" t="s">
        <v>71</v>
      </c>
      <c r="B65" s="2" t="s">
        <v>7</v>
      </c>
      <c r="C65" s="2" t="s">
        <v>8</v>
      </c>
      <c r="D65" s="2">
        <v>170.33</v>
      </c>
      <c r="E65" s="2">
        <v>178.36</v>
      </c>
      <c r="F65" s="2">
        <v>164.07499999999999</v>
      </c>
      <c r="G65">
        <f t="shared" si="2"/>
        <v>-6.7063214369021303E-3</v>
      </c>
      <c r="H65" s="9">
        <f>VLOOKUP(A65,Table2[],3, FALSE)</f>
        <v>-4.1615042774082567E-2</v>
      </c>
      <c r="I65" s="9">
        <f>VLOOKUP(A65,Table3[],3, FALSE)</f>
        <v>4.455829106839726E-3</v>
      </c>
      <c r="J65" s="9">
        <f t="shared" si="0"/>
        <v>-1.1162150543741856E-2</v>
      </c>
      <c r="K65" s="12">
        <f t="shared" si="1"/>
        <v>-4.6070871880922293E-2</v>
      </c>
    </row>
    <row r="66" spans="1:11" x14ac:dyDescent="0.15">
      <c r="A66" s="2" t="s">
        <v>72</v>
      </c>
      <c r="B66" s="2" t="s">
        <v>7</v>
      </c>
      <c r="C66" s="2" t="s">
        <v>8</v>
      </c>
      <c r="D66" s="2">
        <v>192.25</v>
      </c>
      <c r="E66" s="2">
        <v>193</v>
      </c>
      <c r="F66" s="2">
        <v>169.11</v>
      </c>
      <c r="G66">
        <f t="shared" si="2"/>
        <v>0.1286913638231667</v>
      </c>
      <c r="H66" s="9">
        <f>VLOOKUP(A66,Table2[],3, FALSE)</f>
        <v>4.8021224499522536E-2</v>
      </c>
      <c r="I66" s="9">
        <f>VLOOKUP(A66,Table3[],3, FALSE)</f>
        <v>4.471698917043021E-3</v>
      </c>
      <c r="J66" s="9">
        <f t="shared" ref="J66:J129" si="3">G66-I66</f>
        <v>0.12421966490612368</v>
      </c>
      <c r="K66" s="12">
        <f t="shared" ref="K66:K129" si="4">H66-I66</f>
        <v>4.3549525582479515E-2</v>
      </c>
    </row>
    <row r="67" spans="1:11" x14ac:dyDescent="0.15">
      <c r="A67" s="2" t="s">
        <v>73</v>
      </c>
      <c r="B67" s="2" t="s">
        <v>7</v>
      </c>
      <c r="C67" s="2" t="s">
        <v>8</v>
      </c>
      <c r="D67" s="2">
        <v>210.62</v>
      </c>
      <c r="E67" s="2">
        <v>220.2</v>
      </c>
      <c r="F67" s="2">
        <v>192.15</v>
      </c>
      <c r="G67">
        <f t="shared" si="2"/>
        <v>9.555266579973995E-2</v>
      </c>
      <c r="H67" s="9">
        <f>VLOOKUP(A67,Table2[],3, FALSE)</f>
        <v>3.4669759034089816E-2</v>
      </c>
      <c r="I67" s="9">
        <f>VLOOKUP(A67,Table3[],3, FALSE)</f>
        <v>4.439956538087042E-3</v>
      </c>
      <c r="J67" s="9">
        <f t="shared" si="3"/>
        <v>9.1112709261652908E-2</v>
      </c>
      <c r="K67" s="12">
        <f t="shared" si="4"/>
        <v>3.0229802496002774E-2</v>
      </c>
    </row>
    <row r="68" spans="1:11" x14ac:dyDescent="0.15">
      <c r="A68" s="2" t="s">
        <v>74</v>
      </c>
      <c r="B68" s="2" t="s">
        <v>7</v>
      </c>
      <c r="C68" s="2" t="s">
        <v>8</v>
      </c>
      <c r="D68" s="2">
        <v>222.08</v>
      </c>
      <c r="E68" s="2">
        <v>237.23</v>
      </c>
      <c r="F68" s="2">
        <v>211.92</v>
      </c>
      <c r="G68">
        <f t="shared" ref="G68:G131" si="5">(D68-D67)/D67</f>
        <v>5.4410787199696171E-2</v>
      </c>
      <c r="H68" s="9">
        <f>VLOOKUP(A68,Table2[],3, FALSE)</f>
        <v>1.1321349038912444E-2</v>
      </c>
      <c r="I68" s="9">
        <f>VLOOKUP(A68,Table3[],3, FALSE)</f>
        <v>4.455829106839726E-3</v>
      </c>
      <c r="J68" s="9">
        <f t="shared" si="3"/>
        <v>4.9954958092856445E-2</v>
      </c>
      <c r="K68" s="12">
        <f t="shared" si="4"/>
        <v>6.8655199320727181E-3</v>
      </c>
    </row>
    <row r="69" spans="1:11" x14ac:dyDescent="0.15">
      <c r="A69" s="2" t="s">
        <v>75</v>
      </c>
      <c r="B69" s="2" t="s">
        <v>7</v>
      </c>
      <c r="C69" s="2" t="s">
        <v>8</v>
      </c>
      <c r="D69" s="2">
        <v>229</v>
      </c>
      <c r="E69" s="2">
        <v>232.92</v>
      </c>
      <c r="F69" s="2">
        <v>196</v>
      </c>
      <c r="G69">
        <f t="shared" si="5"/>
        <v>3.1159942363112335E-2</v>
      </c>
      <c r="H69" s="9">
        <f>VLOOKUP(A69,Table2[],3, FALSE)</f>
        <v>2.2834688445031861E-2</v>
      </c>
      <c r="I69" s="9">
        <f>VLOOKUP(A69,Table3[],3, FALSE)</f>
        <v>4.471698917043021E-3</v>
      </c>
      <c r="J69" s="9">
        <f t="shared" si="3"/>
        <v>2.6688243446069314E-2</v>
      </c>
      <c r="K69" s="12">
        <f t="shared" si="4"/>
        <v>1.836298952798884E-2</v>
      </c>
    </row>
    <row r="70" spans="1:11" x14ac:dyDescent="0.15">
      <c r="A70" s="2" t="s">
        <v>76</v>
      </c>
      <c r="B70" s="2" t="s">
        <v>7</v>
      </c>
      <c r="C70" s="2" t="s">
        <v>8</v>
      </c>
      <c r="D70" s="2">
        <v>233</v>
      </c>
      <c r="E70" s="2">
        <v>233.09</v>
      </c>
      <c r="F70" s="2">
        <v>213.92</v>
      </c>
      <c r="G70">
        <f t="shared" si="5"/>
        <v>1.7467248908296942E-2</v>
      </c>
      <c r="H70" s="9">
        <f>VLOOKUP(A70,Table2[],3, FALSE)</f>
        <v>2.0196869910063014E-2</v>
      </c>
      <c r="I70" s="9">
        <f>VLOOKUP(A70,Table3[],3, FALSE)</f>
        <v>4.1219243192651689E-3</v>
      </c>
      <c r="J70" s="9">
        <f t="shared" si="3"/>
        <v>1.3345324589031773E-2</v>
      </c>
      <c r="K70" s="12">
        <f t="shared" si="4"/>
        <v>1.6074945590797845E-2</v>
      </c>
    </row>
    <row r="71" spans="1:11" x14ac:dyDescent="0.15">
      <c r="A71" s="2" t="s">
        <v>77</v>
      </c>
      <c r="B71" s="2" t="s">
        <v>7</v>
      </c>
      <c r="C71" s="2" t="s">
        <v>8</v>
      </c>
      <c r="D71" s="2">
        <v>225.91</v>
      </c>
      <c r="E71" s="2">
        <v>237.49</v>
      </c>
      <c r="F71" s="2">
        <v>221.33</v>
      </c>
      <c r="G71">
        <f t="shared" si="5"/>
        <v>-3.0429184549356239E-2</v>
      </c>
      <c r="H71" s="9">
        <f>VLOOKUP(A71,Table2[],3, FALSE)</f>
        <v>-9.896780552817494E-3</v>
      </c>
      <c r="I71" s="9">
        <f>VLOOKUP(A71,Table3[],3, FALSE)</f>
        <v>4.0103507726252374E-3</v>
      </c>
      <c r="J71" s="9">
        <f t="shared" si="3"/>
        <v>-3.4439535321981476E-2</v>
      </c>
      <c r="K71" s="12">
        <f t="shared" si="4"/>
        <v>-1.3907131325442731E-2</v>
      </c>
    </row>
    <row r="72" spans="1:11" x14ac:dyDescent="0.15">
      <c r="A72" s="2" t="s">
        <v>78</v>
      </c>
      <c r="B72" s="2" t="s">
        <v>7</v>
      </c>
      <c r="C72" s="2" t="s">
        <v>8</v>
      </c>
      <c r="D72" s="2">
        <v>237.33</v>
      </c>
      <c r="E72" s="2">
        <v>237.81</v>
      </c>
      <c r="F72" s="2">
        <v>219.71</v>
      </c>
      <c r="G72">
        <f t="shared" si="5"/>
        <v>5.0551104422115072E-2</v>
      </c>
      <c r="H72" s="9">
        <f>VLOOKUP(A72,Table2[],3, FALSE)</f>
        <v>5.7301352215863834E-2</v>
      </c>
      <c r="I72" s="9">
        <f>VLOOKUP(A72,Table3[],3, FALSE)</f>
        <v>3.8427343023630378E-3</v>
      </c>
      <c r="J72" s="9">
        <f t="shared" si="3"/>
        <v>4.6708370119752034E-2</v>
      </c>
      <c r="K72" s="12">
        <f t="shared" si="4"/>
        <v>5.3458617913500796E-2</v>
      </c>
    </row>
    <row r="73" spans="1:11" x14ac:dyDescent="0.15">
      <c r="A73" s="2" t="s">
        <v>79</v>
      </c>
      <c r="B73" s="2" t="s">
        <v>7</v>
      </c>
      <c r="C73" s="2" t="s">
        <v>8</v>
      </c>
      <c r="D73" s="2">
        <v>250.42</v>
      </c>
      <c r="E73" s="2">
        <v>260.10000000000002</v>
      </c>
      <c r="F73" s="2">
        <v>237.16</v>
      </c>
      <c r="G73">
        <f t="shared" si="5"/>
        <v>5.5155269034677344E-2</v>
      </c>
      <c r="H73" s="9">
        <f>VLOOKUP(A73,Table2[],3, FALSE)</f>
        <v>-2.4990136563014929E-2</v>
      </c>
      <c r="I73" s="9">
        <f>VLOOKUP(A73,Table3[],3, FALSE)</f>
        <v>3.6748094004368514E-3</v>
      </c>
      <c r="J73" s="9">
        <f t="shared" si="3"/>
        <v>5.1480459634240493E-2</v>
      </c>
      <c r="K73" s="12">
        <f t="shared" si="4"/>
        <v>-2.8664945963451781E-2</v>
      </c>
    </row>
    <row r="74" spans="1:11" x14ac:dyDescent="0.15">
      <c r="A74" s="2" t="s">
        <v>6</v>
      </c>
      <c r="B74" s="2" t="s">
        <v>80</v>
      </c>
      <c r="C74" s="2" t="s">
        <v>81</v>
      </c>
      <c r="D74" s="2">
        <v>1718.73</v>
      </c>
      <c r="E74" s="2">
        <v>1736.4110000000001</v>
      </c>
      <c r="F74" s="2">
        <v>1460.93</v>
      </c>
      <c r="H74" s="9">
        <f>VLOOKUP(A74,Table2[],3, FALSE)</f>
        <v>0</v>
      </c>
      <c r="I74" s="9">
        <f>VLOOKUP(A74,Table3[],3, FALSE)</f>
        <v>1.9783315388433032E-3</v>
      </c>
      <c r="J74" s="9">
        <f t="shared" si="3"/>
        <v>-1.9783315388433032E-3</v>
      </c>
      <c r="K74" s="12">
        <f t="shared" si="4"/>
        <v>-1.9783315388433032E-3</v>
      </c>
    </row>
    <row r="75" spans="1:11" x14ac:dyDescent="0.15">
      <c r="A75" s="2" t="s">
        <v>9</v>
      </c>
      <c r="B75" s="2" t="s">
        <v>80</v>
      </c>
      <c r="C75" s="2" t="s">
        <v>81</v>
      </c>
      <c r="D75" s="2">
        <v>1639.83</v>
      </c>
      <c r="E75" s="2">
        <v>1673.06</v>
      </c>
      <c r="F75" s="2">
        <v>1566.7560000000001</v>
      </c>
      <c r="G75">
        <f t="shared" si="5"/>
        <v>-4.5905988724232481E-2</v>
      </c>
      <c r="H75" s="9">
        <f>VLOOKUP(A75,Table2[],3, FALSE)</f>
        <v>2.9728930143115964E-2</v>
      </c>
      <c r="I75" s="9">
        <f>VLOOKUP(A75,Table3[],3, FALSE)</f>
        <v>2.0027906163269105E-3</v>
      </c>
      <c r="J75" s="9">
        <f t="shared" si="3"/>
        <v>-4.7908779340559392E-2</v>
      </c>
      <c r="K75" s="12">
        <f t="shared" si="4"/>
        <v>2.7726139526789054E-2</v>
      </c>
    </row>
    <row r="76" spans="1:11" x14ac:dyDescent="0.15">
      <c r="A76" s="2" t="s">
        <v>10</v>
      </c>
      <c r="B76" s="2" t="s">
        <v>80</v>
      </c>
      <c r="C76" s="2" t="s">
        <v>81</v>
      </c>
      <c r="D76" s="2">
        <v>1780.75</v>
      </c>
      <c r="E76" s="2">
        <v>1823.75</v>
      </c>
      <c r="F76" s="2">
        <v>1586.57</v>
      </c>
      <c r="G76">
        <f t="shared" si="5"/>
        <v>8.5935737241055521E-2</v>
      </c>
      <c r="H76" s="9">
        <f>VLOOKUP(A76,Table2[],3, FALSE)</f>
        <v>1.7924287751078408E-2</v>
      </c>
      <c r="I76" s="9">
        <f>VLOOKUP(A76,Table3[],3, FALSE)</f>
        <v>2.0190930200914003E-3</v>
      </c>
      <c r="J76" s="9">
        <f t="shared" si="3"/>
        <v>8.3916644220964121E-2</v>
      </c>
      <c r="K76" s="12">
        <f t="shared" si="4"/>
        <v>1.5905194730987008E-2</v>
      </c>
    </row>
    <row r="77" spans="1:11" x14ac:dyDescent="0.15">
      <c r="A77" s="2" t="s">
        <v>11</v>
      </c>
      <c r="B77" s="2" t="s">
        <v>80</v>
      </c>
      <c r="C77" s="2" t="s">
        <v>81</v>
      </c>
      <c r="D77" s="2">
        <v>1926.52</v>
      </c>
      <c r="E77" s="2">
        <v>1956.335</v>
      </c>
      <c r="F77" s="2">
        <v>1798.73</v>
      </c>
      <c r="G77">
        <f t="shared" si="5"/>
        <v>8.1858767373297753E-2</v>
      </c>
      <c r="H77" s="9">
        <f>VLOOKUP(A77,Table2[],3, FALSE)</f>
        <v>3.9313434942139368E-2</v>
      </c>
      <c r="I77" s="9">
        <f>VLOOKUP(A77,Table3[],3, FALSE)</f>
        <v>2.0027906163269105E-3</v>
      </c>
      <c r="J77" s="9">
        <f t="shared" si="3"/>
        <v>7.9855976756970842E-2</v>
      </c>
      <c r="K77" s="12">
        <f t="shared" si="4"/>
        <v>3.7310644325812457E-2</v>
      </c>
    </row>
    <row r="78" spans="1:11" x14ac:dyDescent="0.15">
      <c r="A78" s="2" t="s">
        <v>12</v>
      </c>
      <c r="B78" s="2" t="s">
        <v>80</v>
      </c>
      <c r="C78" s="2" t="s">
        <v>81</v>
      </c>
      <c r="D78" s="2">
        <v>1775.07</v>
      </c>
      <c r="E78" s="2">
        <v>1964.4</v>
      </c>
      <c r="F78" s="2">
        <v>1772.7034000000001</v>
      </c>
      <c r="G78">
        <f t="shared" si="5"/>
        <v>-7.861325083570378E-2</v>
      </c>
      <c r="H78" s="9">
        <f>VLOOKUP(A78,Table2[],3, FALSE)</f>
        <v>-6.5777726481161508E-2</v>
      </c>
      <c r="I78" s="9">
        <f>VLOOKUP(A78,Table3[],3, FALSE)</f>
        <v>1.9783315388433032E-3</v>
      </c>
      <c r="J78" s="9">
        <f t="shared" si="3"/>
        <v>-8.0591582374547083E-2</v>
      </c>
      <c r="K78" s="12">
        <f t="shared" si="4"/>
        <v>-6.7756058020004811E-2</v>
      </c>
    </row>
    <row r="79" spans="1:11" x14ac:dyDescent="0.15">
      <c r="A79" s="2" t="s">
        <v>13</v>
      </c>
      <c r="B79" s="2" t="s">
        <v>80</v>
      </c>
      <c r="C79" s="2" t="s">
        <v>81</v>
      </c>
      <c r="D79" s="2">
        <v>1893.63</v>
      </c>
      <c r="E79" s="2">
        <v>1935.2</v>
      </c>
      <c r="F79" s="2">
        <v>1672</v>
      </c>
      <c r="G79">
        <f t="shared" si="5"/>
        <v>6.6791732157041789E-2</v>
      </c>
      <c r="H79" s="9">
        <f>VLOOKUP(A79,Table2[],3, FALSE)</f>
        <v>6.8930183208215035E-2</v>
      </c>
      <c r="I79" s="9">
        <f>VLOOKUP(A79,Table3[],3, FALSE)</f>
        <v>1.8314389855391688E-3</v>
      </c>
      <c r="J79" s="9">
        <f t="shared" si="3"/>
        <v>6.496029317150262E-2</v>
      </c>
      <c r="K79" s="12">
        <f t="shared" si="4"/>
        <v>6.7098744222675866E-2</v>
      </c>
    </row>
    <row r="80" spans="1:11" x14ac:dyDescent="0.15">
      <c r="A80" s="2" t="s">
        <v>14</v>
      </c>
      <c r="B80" s="2" t="s">
        <v>80</v>
      </c>
      <c r="C80" s="2" t="s">
        <v>81</v>
      </c>
      <c r="D80" s="2">
        <v>1866.78</v>
      </c>
      <c r="E80" s="2">
        <v>2035.8</v>
      </c>
      <c r="F80" s="2">
        <v>1849.44</v>
      </c>
      <c r="G80">
        <f t="shared" si="5"/>
        <v>-1.417911630043891E-2</v>
      </c>
      <c r="H80" s="9">
        <f>VLOOKUP(A80,Table2[],3, FALSE)</f>
        <v>1.312819536603934E-2</v>
      </c>
      <c r="I80" s="9">
        <f>VLOOKUP(A80,Table3[],3, FALSE)</f>
        <v>1.7742500619855051E-3</v>
      </c>
      <c r="J80" s="9">
        <f t="shared" si="3"/>
        <v>-1.5953366362424413E-2</v>
      </c>
      <c r="K80" s="12">
        <f t="shared" si="4"/>
        <v>1.1353945304053835E-2</v>
      </c>
    </row>
    <row r="81" spans="1:11" x14ac:dyDescent="0.15">
      <c r="A81" s="2" t="s">
        <v>15</v>
      </c>
      <c r="B81" s="2" t="s">
        <v>80</v>
      </c>
      <c r="C81" s="2" t="s">
        <v>81</v>
      </c>
      <c r="D81" s="2">
        <v>1776.29</v>
      </c>
      <c r="E81" s="2">
        <v>1897.92</v>
      </c>
      <c r="F81" s="2">
        <v>1743.51</v>
      </c>
      <c r="G81">
        <f t="shared" si="5"/>
        <v>-4.8473842659552818E-2</v>
      </c>
      <c r="H81" s="9">
        <f>VLOOKUP(A81,Table2[],3, FALSE)</f>
        <v>-1.8091652742267789E-2</v>
      </c>
      <c r="I81" s="9">
        <f>VLOOKUP(A81,Table3[],3, FALSE)</f>
        <v>1.7088472872288651E-3</v>
      </c>
      <c r="J81" s="9">
        <f t="shared" si="3"/>
        <v>-5.0182689946781683E-2</v>
      </c>
      <c r="K81" s="12">
        <f t="shared" si="4"/>
        <v>-1.9800500029496654E-2</v>
      </c>
    </row>
    <row r="82" spans="1:11" x14ac:dyDescent="0.15">
      <c r="A82" s="2" t="s">
        <v>16</v>
      </c>
      <c r="B82" s="2" t="s">
        <v>80</v>
      </c>
      <c r="C82" s="2" t="s">
        <v>81</v>
      </c>
      <c r="D82" s="2">
        <v>1735.91</v>
      </c>
      <c r="E82" s="2">
        <v>1853.66</v>
      </c>
      <c r="F82" s="2">
        <v>1709.22</v>
      </c>
      <c r="G82">
        <f t="shared" si="5"/>
        <v>-2.2732774490651798E-2</v>
      </c>
      <c r="H82" s="9">
        <f>VLOOKUP(A82,Table2[],3, FALSE)</f>
        <v>1.7181167690656883E-2</v>
      </c>
      <c r="I82" s="9">
        <f>VLOOKUP(A82,Table3[],3, FALSE)</f>
        <v>1.6433975062259965E-3</v>
      </c>
      <c r="J82" s="9">
        <f t="shared" si="3"/>
        <v>-2.4376171996877794E-2</v>
      </c>
      <c r="K82" s="12">
        <f t="shared" si="4"/>
        <v>1.5537770184430887E-2</v>
      </c>
    </row>
    <row r="83" spans="1:11" x14ac:dyDescent="0.15">
      <c r="A83" s="2" t="s">
        <v>17</v>
      </c>
      <c r="B83" s="2" t="s">
        <v>80</v>
      </c>
      <c r="C83" s="2" t="s">
        <v>81</v>
      </c>
      <c r="D83" s="2">
        <v>1776.66</v>
      </c>
      <c r="E83" s="2">
        <v>1798.85</v>
      </c>
      <c r="F83" s="2">
        <v>1685.06</v>
      </c>
      <c r="G83">
        <f t="shared" si="5"/>
        <v>2.3474719311485041E-2</v>
      </c>
      <c r="H83" s="9">
        <f>VLOOKUP(A83,Table2[],3, FALSE)</f>
        <v>2.0431747482144953E-2</v>
      </c>
      <c r="I83" s="9">
        <f>VLOOKUP(A83,Table3[],3, FALSE)</f>
        <v>1.4303602255574255E-3</v>
      </c>
      <c r="J83" s="9">
        <f t="shared" si="3"/>
        <v>2.2044359085927615E-2</v>
      </c>
      <c r="K83" s="12">
        <f t="shared" si="4"/>
        <v>1.9001387256587527E-2</v>
      </c>
    </row>
    <row r="84" spans="1:11" x14ac:dyDescent="0.15">
      <c r="A84" s="2" t="s">
        <v>18</v>
      </c>
      <c r="B84" s="2" t="s">
        <v>80</v>
      </c>
      <c r="C84" s="2" t="s">
        <v>81</v>
      </c>
      <c r="D84" s="2">
        <v>1800.8</v>
      </c>
      <c r="E84" s="2">
        <v>1824.69</v>
      </c>
      <c r="F84" s="2">
        <v>1722.71</v>
      </c>
      <c r="G84">
        <f t="shared" si="5"/>
        <v>1.3587293010480268E-2</v>
      </c>
      <c r="H84" s="9">
        <f>VLOOKUP(A84,Table2[],3, FALSE)</f>
        <v>3.4047064090915104E-2</v>
      </c>
      <c r="I84" s="9">
        <f>VLOOKUP(A84,Table3[],3, FALSE)</f>
        <v>1.3072269593599195E-3</v>
      </c>
      <c r="J84" s="9">
        <f t="shared" si="3"/>
        <v>1.2280066051120348E-2</v>
      </c>
      <c r="K84" s="12">
        <f t="shared" si="4"/>
        <v>3.2739837131555184E-2</v>
      </c>
    </row>
    <row r="85" spans="1:11" x14ac:dyDescent="0.15">
      <c r="A85" s="2" t="s">
        <v>19</v>
      </c>
      <c r="B85" s="2" t="s">
        <v>80</v>
      </c>
      <c r="C85" s="2" t="s">
        <v>81</v>
      </c>
      <c r="D85" s="2">
        <v>1847.84</v>
      </c>
      <c r="E85" s="2">
        <v>1901.4</v>
      </c>
      <c r="F85" s="2">
        <v>1735</v>
      </c>
      <c r="G85">
        <f t="shared" si="5"/>
        <v>2.6121723678365152E-2</v>
      </c>
      <c r="H85" s="9">
        <f>VLOOKUP(A85,Table2[],3, FALSE)</f>
        <v>2.8589803182446302E-2</v>
      </c>
      <c r="I85" s="9">
        <f>VLOOKUP(A85,Table3[],3, FALSE)</f>
        <v>1.2825803067024744E-3</v>
      </c>
      <c r="J85" s="9">
        <f t="shared" si="3"/>
        <v>2.4839143371662677E-2</v>
      </c>
      <c r="K85" s="12">
        <f t="shared" si="4"/>
        <v>2.7307222875743827E-2</v>
      </c>
    </row>
    <row r="86" spans="1:11" x14ac:dyDescent="0.15">
      <c r="A86" s="2" t="s">
        <v>20</v>
      </c>
      <c r="B86" s="2" t="s">
        <v>80</v>
      </c>
      <c r="C86" s="2" t="s">
        <v>81</v>
      </c>
      <c r="D86" s="2">
        <v>2008.72</v>
      </c>
      <c r="E86" s="2">
        <v>2055.7199999999998</v>
      </c>
      <c r="F86" s="2">
        <v>1815.34</v>
      </c>
      <c r="G86">
        <f t="shared" si="5"/>
        <v>8.706381504892205E-2</v>
      </c>
      <c r="H86" s="9">
        <f>VLOOKUP(A86,Table2[],3, FALSE)</f>
        <v>-1.6280898111292685E-3</v>
      </c>
      <c r="I86" s="9">
        <f>VLOOKUP(A86,Table3[],3, FALSE)</f>
        <v>1.2661454966749197E-3</v>
      </c>
      <c r="J86" s="9">
        <f t="shared" si="3"/>
        <v>8.579766955224713E-2</v>
      </c>
      <c r="K86" s="12">
        <f t="shared" si="4"/>
        <v>-2.8942353078041882E-3</v>
      </c>
    </row>
    <row r="87" spans="1:11" x14ac:dyDescent="0.15">
      <c r="A87" s="2" t="s">
        <v>21</v>
      </c>
      <c r="B87" s="2" t="s">
        <v>80</v>
      </c>
      <c r="C87" s="2" t="s">
        <v>81</v>
      </c>
      <c r="D87" s="2">
        <v>1883.75</v>
      </c>
      <c r="E87" s="2">
        <v>2185.9499999999998</v>
      </c>
      <c r="F87" s="2">
        <v>1811.1289999999999</v>
      </c>
      <c r="G87">
        <f t="shared" si="5"/>
        <v>-6.2213748058465107E-2</v>
      </c>
      <c r="H87" s="9">
        <f>VLOOKUP(A87,Table2[],3, FALSE)</f>
        <v>-8.4110469009648109E-2</v>
      </c>
      <c r="I87" s="9">
        <f>VLOOKUP(A87,Table3[],3, FALSE)</f>
        <v>1.3072269593599195E-3</v>
      </c>
      <c r="J87" s="9">
        <f t="shared" si="3"/>
        <v>-6.3520975017825027E-2</v>
      </c>
      <c r="K87" s="12">
        <f t="shared" si="4"/>
        <v>-8.5417695969008028E-2</v>
      </c>
    </row>
    <row r="88" spans="1:11" x14ac:dyDescent="0.15">
      <c r="A88" s="2" t="s">
        <v>22</v>
      </c>
      <c r="B88" s="2" t="s">
        <v>80</v>
      </c>
      <c r="C88" s="2" t="s">
        <v>81</v>
      </c>
      <c r="D88" s="2">
        <v>1949.72</v>
      </c>
      <c r="E88" s="2">
        <v>1996.33</v>
      </c>
      <c r="F88" s="2">
        <v>1626.0318</v>
      </c>
      <c r="G88">
        <f t="shared" si="5"/>
        <v>3.5020570670205718E-2</v>
      </c>
      <c r="H88" s="9">
        <f>VLOOKUP(A88,Table2[],3, FALSE)</f>
        <v>-0.12511932083595659</v>
      </c>
      <c r="I88" s="9">
        <f>VLOOKUP(A88,Table3[],3, FALSE)</f>
        <v>3.0781168409865778E-4</v>
      </c>
      <c r="J88" s="9">
        <f t="shared" si="3"/>
        <v>3.471275898610706E-2</v>
      </c>
      <c r="K88" s="12">
        <f t="shared" si="4"/>
        <v>-0.12542713252005525</v>
      </c>
    </row>
    <row r="89" spans="1:11" x14ac:dyDescent="0.15">
      <c r="A89" s="2" t="s">
        <v>23</v>
      </c>
      <c r="B89" s="2" t="s">
        <v>80</v>
      </c>
      <c r="C89" s="2" t="s">
        <v>81</v>
      </c>
      <c r="D89" s="2">
        <v>2474</v>
      </c>
      <c r="E89" s="2">
        <v>2475</v>
      </c>
      <c r="F89" s="2">
        <v>1889.15</v>
      </c>
      <c r="G89">
        <f t="shared" si="5"/>
        <v>0.26890014976509446</v>
      </c>
      <c r="H89" s="9">
        <f>VLOOKUP(A89,Table2[],3, FALSE)</f>
        <v>0.12684410293315368</v>
      </c>
      <c r="I89" s="9">
        <f>VLOOKUP(A89,Table3[],3, FALSE)</f>
        <v>9.1620483841925449E-5</v>
      </c>
      <c r="J89" s="9">
        <f t="shared" si="3"/>
        <v>0.26880852928125254</v>
      </c>
      <c r="K89" s="12">
        <f t="shared" si="4"/>
        <v>0.12675248244931175</v>
      </c>
    </row>
    <row r="90" spans="1:11" x14ac:dyDescent="0.15">
      <c r="A90" s="2" t="s">
        <v>24</v>
      </c>
      <c r="B90" s="2" t="s">
        <v>80</v>
      </c>
      <c r="C90" s="2" t="s">
        <v>81</v>
      </c>
      <c r="D90" s="2">
        <v>2442.37</v>
      </c>
      <c r="E90" s="2">
        <v>2525.4499999999998</v>
      </c>
      <c r="F90" s="2">
        <v>2256.38</v>
      </c>
      <c r="G90">
        <f t="shared" si="5"/>
        <v>-1.2784963621665363E-2</v>
      </c>
      <c r="H90" s="9">
        <f>VLOOKUP(A90,Table2[],3, FALSE)</f>
        <v>4.5281775012618368E-2</v>
      </c>
      <c r="I90" s="9">
        <f>VLOOKUP(A90,Table3[],3, FALSE)</f>
        <v>8.3295163273211514E-5</v>
      </c>
      <c r="J90" s="9">
        <f t="shared" si="3"/>
        <v>-1.2868258784938575E-2</v>
      </c>
      <c r="K90" s="12">
        <f t="shared" si="4"/>
        <v>4.5198479849345156E-2</v>
      </c>
    </row>
    <row r="91" spans="1:11" x14ac:dyDescent="0.15">
      <c r="A91" s="2" t="s">
        <v>25</v>
      </c>
      <c r="B91" s="2" t="s">
        <v>80</v>
      </c>
      <c r="C91" s="2" t="s">
        <v>81</v>
      </c>
      <c r="D91" s="2">
        <v>2758.82</v>
      </c>
      <c r="E91" s="2">
        <v>2796</v>
      </c>
      <c r="F91" s="2">
        <v>2437.13</v>
      </c>
      <c r="G91">
        <f t="shared" si="5"/>
        <v>0.12956677325712332</v>
      </c>
      <c r="H91" s="9">
        <f>VLOOKUP(A91,Table2[],3, FALSE)</f>
        <v>1.838840328350267E-2</v>
      </c>
      <c r="I91" s="9">
        <f>VLOOKUP(A91,Table3[],3, FALSE)</f>
        <v>1.0826883828274347E-4</v>
      </c>
      <c r="J91" s="9">
        <f t="shared" si="3"/>
        <v>0.12945850441884058</v>
      </c>
      <c r="K91" s="12">
        <f t="shared" si="4"/>
        <v>1.8280134445219927E-2</v>
      </c>
    </row>
    <row r="92" spans="1:11" x14ac:dyDescent="0.15">
      <c r="A92" s="2" t="s">
        <v>26</v>
      </c>
      <c r="B92" s="2" t="s">
        <v>80</v>
      </c>
      <c r="C92" s="2" t="s">
        <v>81</v>
      </c>
      <c r="D92" s="2">
        <v>3164.68</v>
      </c>
      <c r="E92" s="2">
        <v>3344.29</v>
      </c>
      <c r="F92" s="2">
        <v>2754</v>
      </c>
      <c r="G92">
        <f t="shared" si="5"/>
        <v>0.14711362104087966</v>
      </c>
      <c r="H92" s="9">
        <f>VLOOKUP(A92,Table2[],3, FALSE)</f>
        <v>5.5101296975444213E-2</v>
      </c>
      <c r="I92" s="9">
        <f>VLOOKUP(A92,Table3[],3, FALSE)</f>
        <v>9.1620483841925449E-5</v>
      </c>
      <c r="J92" s="9">
        <f t="shared" si="3"/>
        <v>0.14702200055703774</v>
      </c>
      <c r="K92" s="12">
        <f t="shared" si="4"/>
        <v>5.5009676491602287E-2</v>
      </c>
    </row>
    <row r="93" spans="1:11" x14ac:dyDescent="0.15">
      <c r="A93" s="2" t="s">
        <v>27</v>
      </c>
      <c r="B93" s="2" t="s">
        <v>80</v>
      </c>
      <c r="C93" s="2" t="s">
        <v>81</v>
      </c>
      <c r="D93" s="2">
        <v>3450.96</v>
      </c>
      <c r="E93" s="2">
        <v>3495</v>
      </c>
      <c r="F93" s="2">
        <v>3073</v>
      </c>
      <c r="G93">
        <f t="shared" si="5"/>
        <v>9.0460962877763382E-2</v>
      </c>
      <c r="H93" s="9">
        <f>VLOOKUP(A93,Table2[],3, FALSE)</f>
        <v>7.0064687324219249E-2</v>
      </c>
      <c r="I93" s="9">
        <f>VLOOKUP(A93,Table3[],3, FALSE)</f>
        <v>6.6642234708869097E-5</v>
      </c>
      <c r="J93" s="9">
        <f t="shared" si="3"/>
        <v>9.0394320643054513E-2</v>
      </c>
      <c r="K93" s="12">
        <f t="shared" si="4"/>
        <v>6.999804508951038E-2</v>
      </c>
    </row>
    <row r="94" spans="1:11" x14ac:dyDescent="0.15">
      <c r="A94" s="2" t="s">
        <v>28</v>
      </c>
      <c r="B94" s="2" t="s">
        <v>80</v>
      </c>
      <c r="C94" s="2" t="s">
        <v>81</v>
      </c>
      <c r="D94" s="2">
        <v>3148.73</v>
      </c>
      <c r="E94" s="2">
        <v>3552.25</v>
      </c>
      <c r="F94" s="2">
        <v>2871</v>
      </c>
      <c r="G94">
        <f t="shared" si="5"/>
        <v>-8.7578528873125158E-2</v>
      </c>
      <c r="H94" s="9">
        <f>VLOOKUP(A94,Table2[],3, FALSE)</f>
        <v>-3.9227954095494386E-2</v>
      </c>
      <c r="I94" s="9">
        <f>VLOOKUP(A94,Table3[],3, FALSE)</f>
        <v>7.4969080277487166E-5</v>
      </c>
      <c r="J94" s="9">
        <f t="shared" si="3"/>
        <v>-8.7653497953402645E-2</v>
      </c>
      <c r="K94" s="12">
        <f t="shared" si="4"/>
        <v>-3.9302923175771873E-2</v>
      </c>
    </row>
    <row r="95" spans="1:11" x14ac:dyDescent="0.15">
      <c r="A95" s="2" t="s">
        <v>29</v>
      </c>
      <c r="B95" s="2" t="s">
        <v>80</v>
      </c>
      <c r="C95" s="2" t="s">
        <v>81</v>
      </c>
      <c r="D95" s="2">
        <v>3036.15</v>
      </c>
      <c r="E95" s="2">
        <v>3496.24</v>
      </c>
      <c r="F95" s="2">
        <v>3019</v>
      </c>
      <c r="G95">
        <f t="shared" si="5"/>
        <v>-3.5754097683828062E-2</v>
      </c>
      <c r="H95" s="9">
        <f>VLOOKUP(A95,Table2[],3, FALSE)</f>
        <v>-2.766577460600653E-2</v>
      </c>
      <c r="I95" s="9">
        <f>VLOOKUP(A95,Table3[],3, FALSE)</f>
        <v>7.4969080277487166E-5</v>
      </c>
      <c r="J95" s="9">
        <f t="shared" si="3"/>
        <v>-3.5829066764105549E-2</v>
      </c>
      <c r="K95" s="12">
        <f t="shared" si="4"/>
        <v>-2.7740743686284017E-2</v>
      </c>
    </row>
    <row r="96" spans="1:11" x14ac:dyDescent="0.15">
      <c r="A96" s="2" t="s">
        <v>30</v>
      </c>
      <c r="B96" s="2" t="s">
        <v>80</v>
      </c>
      <c r="C96" s="2" t="s">
        <v>81</v>
      </c>
      <c r="D96" s="2">
        <v>3168.04</v>
      </c>
      <c r="E96" s="2">
        <v>3366.8</v>
      </c>
      <c r="F96" s="2">
        <v>2950.12</v>
      </c>
      <c r="G96">
        <f t="shared" si="5"/>
        <v>4.3439882746241082E-2</v>
      </c>
      <c r="H96" s="9">
        <f>VLOOKUP(A96,Table2[],3, FALSE)</f>
        <v>0.10754565805086302</v>
      </c>
      <c r="I96" s="9">
        <f>VLOOKUP(A96,Table3[],3, FALSE)</f>
        <v>7.4969080277487166E-5</v>
      </c>
      <c r="J96" s="9">
        <f t="shared" si="3"/>
        <v>4.3364913665963595E-2</v>
      </c>
      <c r="K96" s="12">
        <f t="shared" si="4"/>
        <v>0.10747068897058554</v>
      </c>
    </row>
    <row r="97" spans="1:11" x14ac:dyDescent="0.15">
      <c r="A97" s="2" t="s">
        <v>31</v>
      </c>
      <c r="B97" s="2" t="s">
        <v>80</v>
      </c>
      <c r="C97" s="2" t="s">
        <v>81</v>
      </c>
      <c r="D97" s="2">
        <v>3256.93</v>
      </c>
      <c r="E97" s="2">
        <v>3350.65</v>
      </c>
      <c r="F97" s="2">
        <v>3072.82</v>
      </c>
      <c r="G97">
        <f t="shared" si="5"/>
        <v>2.8058357849017019E-2</v>
      </c>
      <c r="H97" s="9">
        <f>VLOOKUP(A97,Table2[],3, FALSE)</f>
        <v>3.7121406659432372E-2</v>
      </c>
      <c r="I97" s="9">
        <f>VLOOKUP(A97,Table3[],3, FALSE)</f>
        <v>6.6642234708869097E-5</v>
      </c>
      <c r="J97" s="9">
        <f t="shared" si="3"/>
        <v>2.799171561430815E-2</v>
      </c>
      <c r="K97" s="12">
        <f t="shared" si="4"/>
        <v>3.7054764424723503E-2</v>
      </c>
    </row>
    <row r="98" spans="1:11" x14ac:dyDescent="0.15">
      <c r="A98" s="2" t="s">
        <v>32</v>
      </c>
      <c r="B98" s="2" t="s">
        <v>80</v>
      </c>
      <c r="C98" s="2" t="s">
        <v>81</v>
      </c>
      <c r="D98" s="2">
        <v>3206.2</v>
      </c>
      <c r="E98" s="2">
        <v>3363.89</v>
      </c>
      <c r="F98" s="2">
        <v>3086</v>
      </c>
      <c r="G98">
        <f t="shared" si="5"/>
        <v>-1.5576017906433365E-2</v>
      </c>
      <c r="H98" s="9">
        <f>VLOOKUP(A98,Table2[],3, FALSE)</f>
        <v>-1.1136640158463601E-2</v>
      </c>
      <c r="I98" s="9">
        <f>VLOOKUP(A98,Table3[],3, FALSE)</f>
        <v>6.6642234708869097E-5</v>
      </c>
      <c r="J98" s="9">
        <f t="shared" si="3"/>
        <v>-1.5642660141142233E-2</v>
      </c>
      <c r="K98" s="12">
        <f t="shared" si="4"/>
        <v>-1.120328239317247E-2</v>
      </c>
    </row>
    <row r="99" spans="1:11" x14ac:dyDescent="0.15">
      <c r="A99" s="2" t="s">
        <v>33</v>
      </c>
      <c r="B99" s="2" t="s">
        <v>80</v>
      </c>
      <c r="C99" s="2" t="s">
        <v>81</v>
      </c>
      <c r="D99" s="2">
        <v>3092.93</v>
      </c>
      <c r="E99" s="2">
        <v>3434</v>
      </c>
      <c r="F99" s="2">
        <v>3036.7</v>
      </c>
      <c r="G99">
        <f t="shared" si="5"/>
        <v>-3.5328426174287317E-2</v>
      </c>
      <c r="H99" s="9">
        <f>VLOOKUP(A99,Table2[],3, FALSE)</f>
        <v>2.6091474971999741E-2</v>
      </c>
      <c r="I99" s="9">
        <f>VLOOKUP(A99,Table3[],3, FALSE)</f>
        <v>3.3327223783574667E-5</v>
      </c>
      <c r="J99" s="9">
        <f t="shared" si="3"/>
        <v>-3.5361753398070891E-2</v>
      </c>
      <c r="K99" s="12">
        <f t="shared" si="4"/>
        <v>2.6058147748216166E-2</v>
      </c>
    </row>
    <row r="100" spans="1:11" x14ac:dyDescent="0.15">
      <c r="A100" s="2" t="s">
        <v>34</v>
      </c>
      <c r="B100" s="2" t="s">
        <v>80</v>
      </c>
      <c r="C100" s="2" t="s">
        <v>81</v>
      </c>
      <c r="D100" s="2">
        <v>3094.08</v>
      </c>
      <c r="E100" s="2">
        <v>3182</v>
      </c>
      <c r="F100" s="2">
        <v>2881.0001000000002</v>
      </c>
      <c r="G100">
        <f t="shared" si="5"/>
        <v>3.7181572166201335E-4</v>
      </c>
      <c r="H100" s="9">
        <f>VLOOKUP(A100,Table2[],3, FALSE)</f>
        <v>4.2438634008107733E-2</v>
      </c>
      <c r="I100" s="9">
        <f>VLOOKUP(A100,Table3[],3, FALSE)</f>
        <v>1.6665139084048874E-5</v>
      </c>
      <c r="J100" s="9">
        <f t="shared" si="3"/>
        <v>3.5515058257796448E-4</v>
      </c>
      <c r="K100" s="12">
        <f t="shared" si="4"/>
        <v>4.2421968869023684E-2</v>
      </c>
    </row>
    <row r="101" spans="1:11" x14ac:dyDescent="0.15">
      <c r="A101" s="2" t="s">
        <v>35</v>
      </c>
      <c r="B101" s="2" t="s">
        <v>80</v>
      </c>
      <c r="C101" s="2" t="s">
        <v>81</v>
      </c>
      <c r="D101" s="2">
        <v>3467.42</v>
      </c>
      <c r="E101" s="2">
        <v>3554</v>
      </c>
      <c r="F101" s="2">
        <v>3115.55</v>
      </c>
      <c r="G101">
        <f t="shared" si="5"/>
        <v>0.12066268486916956</v>
      </c>
      <c r="H101" s="9">
        <f>VLOOKUP(A101,Table2[],3, FALSE)</f>
        <v>5.2425312555847307E-2</v>
      </c>
      <c r="I101" s="9">
        <f>VLOOKUP(A101,Table3[],3, FALSE)</f>
        <v>1.6665139084048874E-5</v>
      </c>
      <c r="J101" s="9">
        <f t="shared" si="3"/>
        <v>0.12064601973008551</v>
      </c>
      <c r="K101" s="12">
        <f t="shared" si="4"/>
        <v>5.2408647416763258E-2</v>
      </c>
    </row>
    <row r="102" spans="1:11" x14ac:dyDescent="0.15">
      <c r="A102" s="2" t="s">
        <v>36</v>
      </c>
      <c r="B102" s="2" t="s">
        <v>80</v>
      </c>
      <c r="C102" s="2" t="s">
        <v>81</v>
      </c>
      <c r="D102" s="2">
        <v>3223.07</v>
      </c>
      <c r="E102" s="2">
        <v>3486.645</v>
      </c>
      <c r="F102" s="2">
        <v>3127.37</v>
      </c>
      <c r="G102">
        <f t="shared" si="5"/>
        <v>-7.0470263192806151E-2</v>
      </c>
      <c r="H102" s="9">
        <f>VLOOKUP(A102,Table2[],3, FALSE)</f>
        <v>5.4865025818131288E-3</v>
      </c>
      <c r="I102" s="9">
        <f>VLOOKUP(A102,Table3[],3, FALSE)</f>
        <v>8.3329514133367866E-6</v>
      </c>
      <c r="J102" s="9">
        <f t="shared" si="3"/>
        <v>-7.0478596144219488E-2</v>
      </c>
      <c r="K102" s="12">
        <f t="shared" si="4"/>
        <v>5.478169630399792E-3</v>
      </c>
    </row>
    <row r="103" spans="1:11" x14ac:dyDescent="0.15">
      <c r="A103" s="2" t="s">
        <v>37</v>
      </c>
      <c r="B103" s="2" t="s">
        <v>80</v>
      </c>
      <c r="C103" s="2" t="s">
        <v>81</v>
      </c>
      <c r="D103" s="2">
        <v>3440.16</v>
      </c>
      <c r="E103" s="2">
        <v>3524.8598999999999</v>
      </c>
      <c r="F103" s="2">
        <v>3172.2</v>
      </c>
      <c r="G103">
        <f t="shared" si="5"/>
        <v>6.7355037278122934E-2</v>
      </c>
      <c r="H103" s="9">
        <f>VLOOKUP(A103,Table2[],3, FALSE)</f>
        <v>2.221397632316955E-2</v>
      </c>
      <c r="I103" s="9">
        <f>VLOOKUP(A103,Table3[],3, FALSE)</f>
        <v>2.4996563158685703E-5</v>
      </c>
      <c r="J103" s="9">
        <f t="shared" si="3"/>
        <v>6.7330040714964248E-2</v>
      </c>
      <c r="K103" s="12">
        <f t="shared" si="4"/>
        <v>2.2188979760010864E-2</v>
      </c>
    </row>
    <row r="104" spans="1:11" x14ac:dyDescent="0.15">
      <c r="A104" s="2" t="s">
        <v>38</v>
      </c>
      <c r="B104" s="2" t="s">
        <v>80</v>
      </c>
      <c r="C104" s="2" t="s">
        <v>81</v>
      </c>
      <c r="D104" s="2">
        <v>3327.59</v>
      </c>
      <c r="E104" s="2">
        <v>3773.0781999999999</v>
      </c>
      <c r="F104" s="2">
        <v>3306.98</v>
      </c>
      <c r="G104">
        <f t="shared" si="5"/>
        <v>-3.2722315241151489E-2</v>
      </c>
      <c r="H104" s="9">
        <f>VLOOKUP(A104,Table2[],3, FALSE)</f>
        <v>2.2748109365910464E-2</v>
      </c>
      <c r="I104" s="9">
        <f>VLOOKUP(A104,Table3[],3, FALSE)</f>
        <v>4.1657121104599071E-5</v>
      </c>
      <c r="J104" s="9">
        <f t="shared" si="3"/>
        <v>-3.2763972362256089E-2</v>
      </c>
      <c r="K104" s="12">
        <f t="shared" si="4"/>
        <v>2.2706452244805865E-2</v>
      </c>
    </row>
    <row r="105" spans="1:11" x14ac:dyDescent="0.15">
      <c r="A105" s="2" t="s">
        <v>39</v>
      </c>
      <c r="B105" s="2" t="s">
        <v>80</v>
      </c>
      <c r="C105" s="2" t="s">
        <v>81</v>
      </c>
      <c r="D105" s="2">
        <v>3470.79</v>
      </c>
      <c r="E105" s="2">
        <v>3472.58</v>
      </c>
      <c r="F105" s="2">
        <v>3175.76</v>
      </c>
      <c r="G105">
        <f t="shared" si="5"/>
        <v>4.3034147836722617E-2</v>
      </c>
      <c r="H105" s="9">
        <f>VLOOKUP(A105,Table2[],3, FALSE)</f>
        <v>2.8990321391681052E-2</v>
      </c>
      <c r="I105" s="9">
        <f>VLOOKUP(A105,Table3[],3, FALSE)</f>
        <v>3.3327223783574667E-5</v>
      </c>
      <c r="J105" s="9">
        <f t="shared" si="3"/>
        <v>4.3000820612939042E-2</v>
      </c>
      <c r="K105" s="12">
        <f t="shared" si="4"/>
        <v>2.8956994167897477E-2</v>
      </c>
    </row>
    <row r="106" spans="1:11" x14ac:dyDescent="0.15">
      <c r="A106" s="2" t="s">
        <v>40</v>
      </c>
      <c r="B106" s="2" t="s">
        <v>80</v>
      </c>
      <c r="C106" s="2" t="s">
        <v>81</v>
      </c>
      <c r="D106" s="2">
        <v>3285.04</v>
      </c>
      <c r="E106" s="2">
        <v>3549.99</v>
      </c>
      <c r="F106" s="2">
        <v>3273.99</v>
      </c>
      <c r="G106">
        <f t="shared" si="5"/>
        <v>-5.3518075135631948E-2</v>
      </c>
      <c r="H106" s="9">
        <f>VLOOKUP(A106,Table2[],3, FALSE)</f>
        <v>-4.7569140421166278E-2</v>
      </c>
      <c r="I106" s="9">
        <f>VLOOKUP(A106,Table3[],3, FALSE)</f>
        <v>4.1657121104599071E-5</v>
      </c>
      <c r="J106" s="9">
        <f t="shared" si="3"/>
        <v>-5.3559732256736547E-2</v>
      </c>
      <c r="K106" s="12">
        <f t="shared" si="4"/>
        <v>-4.7610797542270877E-2</v>
      </c>
    </row>
    <row r="107" spans="1:11" x14ac:dyDescent="0.15">
      <c r="A107" s="2" t="s">
        <v>41</v>
      </c>
      <c r="B107" s="2" t="s">
        <v>80</v>
      </c>
      <c r="C107" s="2" t="s">
        <v>81</v>
      </c>
      <c r="D107" s="2">
        <v>3372.43</v>
      </c>
      <c r="E107" s="2">
        <v>3479</v>
      </c>
      <c r="F107" s="2">
        <v>3176.25</v>
      </c>
      <c r="G107">
        <f t="shared" si="5"/>
        <v>2.6602415800111984E-2</v>
      </c>
      <c r="H107" s="9">
        <f>VLOOKUP(A107,Table2[],3, FALSE)</f>
        <v>6.9143873301234615E-2</v>
      </c>
      <c r="I107" s="9">
        <f>VLOOKUP(A107,Table3[],3, FALSE)</f>
        <v>4.99862552685304E-5</v>
      </c>
      <c r="J107" s="9">
        <f t="shared" si="3"/>
        <v>2.6552429544843454E-2</v>
      </c>
      <c r="K107" s="12">
        <f t="shared" si="4"/>
        <v>6.9093887045966085E-2</v>
      </c>
    </row>
    <row r="108" spans="1:11" x14ac:dyDescent="0.15">
      <c r="A108" s="2" t="s">
        <v>42</v>
      </c>
      <c r="B108" s="2" t="s">
        <v>80</v>
      </c>
      <c r="C108" s="2" t="s">
        <v>81</v>
      </c>
      <c r="D108" s="2">
        <v>3507.07</v>
      </c>
      <c r="E108" s="2">
        <v>3762.145</v>
      </c>
      <c r="F108" s="2">
        <v>3283.55</v>
      </c>
      <c r="G108">
        <f t="shared" si="5"/>
        <v>3.9923734517840349E-2</v>
      </c>
      <c r="H108" s="9">
        <f>VLOOKUP(A108,Table2[],3, FALSE)</f>
        <v>-8.3337314184714628E-3</v>
      </c>
      <c r="I108" s="9">
        <f>VLOOKUP(A108,Table3[],3, FALSE)</f>
        <v>5.8314626421251958E-5</v>
      </c>
      <c r="J108" s="9">
        <f t="shared" si="3"/>
        <v>3.9865419891419097E-2</v>
      </c>
      <c r="K108" s="12">
        <f t="shared" si="4"/>
        <v>-8.3920460448927148E-3</v>
      </c>
    </row>
    <row r="109" spans="1:11" x14ac:dyDescent="0.15">
      <c r="A109" s="2" t="s">
        <v>43</v>
      </c>
      <c r="B109" s="2" t="s">
        <v>80</v>
      </c>
      <c r="C109" s="2" t="s">
        <v>81</v>
      </c>
      <c r="D109" s="2">
        <v>3334.34</v>
      </c>
      <c r="E109" s="2">
        <v>3559.88</v>
      </c>
      <c r="F109" s="2">
        <v>3303.9</v>
      </c>
      <c r="G109">
        <f t="shared" si="5"/>
        <v>-4.9251939653328851E-2</v>
      </c>
      <c r="H109" s="9">
        <f>VLOOKUP(A109,Table2[],3, FALSE)</f>
        <v>4.3612874972629799E-2</v>
      </c>
      <c r="I109" s="9">
        <f>VLOOKUP(A109,Table3[],3, FALSE)</f>
        <v>3.3327223783574667E-5</v>
      </c>
      <c r="J109" s="9">
        <f t="shared" si="3"/>
        <v>-4.9285266877112426E-2</v>
      </c>
      <c r="K109" s="12">
        <f t="shared" si="4"/>
        <v>4.3579547748846224E-2</v>
      </c>
    </row>
    <row r="110" spans="1:11" x14ac:dyDescent="0.15">
      <c r="A110" s="2" t="s">
        <v>44</v>
      </c>
      <c r="B110" s="2" t="s">
        <v>80</v>
      </c>
      <c r="C110" s="2" t="s">
        <v>81</v>
      </c>
      <c r="D110" s="2">
        <v>2991.47</v>
      </c>
      <c r="E110" s="2">
        <v>3428</v>
      </c>
      <c r="F110" s="2">
        <v>2707.04</v>
      </c>
      <c r="G110">
        <f t="shared" si="5"/>
        <v>-0.10282994535650243</v>
      </c>
      <c r="H110" s="9">
        <f>VLOOKUP(A110,Table2[],3, FALSE)</f>
        <v>-5.2585089106999758E-2</v>
      </c>
      <c r="I110" s="9">
        <f>VLOOKUP(A110,Table3[],3, FALSE)</f>
        <v>4.1657121104599071E-5</v>
      </c>
      <c r="J110" s="9">
        <f t="shared" si="3"/>
        <v>-0.10287160247760703</v>
      </c>
      <c r="K110" s="12">
        <f t="shared" si="4"/>
        <v>-5.2626746228104357E-2</v>
      </c>
    </row>
    <row r="111" spans="1:11" x14ac:dyDescent="0.15">
      <c r="A111" s="2" t="s">
        <v>45</v>
      </c>
      <c r="B111" s="2" t="s">
        <v>80</v>
      </c>
      <c r="C111" s="2" t="s">
        <v>81</v>
      </c>
      <c r="D111" s="2">
        <v>3071.26</v>
      </c>
      <c r="E111" s="2">
        <v>3276.69</v>
      </c>
      <c r="F111" s="2">
        <v>2766.66</v>
      </c>
      <c r="G111">
        <f t="shared" si="5"/>
        <v>2.6672505490611779E-2</v>
      </c>
      <c r="H111" s="9">
        <f>VLOOKUP(A111,Table2[],3, FALSE)</f>
        <v>-3.136052086678269E-2</v>
      </c>
      <c r="I111" s="9">
        <f>VLOOKUP(A111,Table3[],3, FALSE)</f>
        <v>3.3327223783574667E-5</v>
      </c>
      <c r="J111" s="9">
        <f t="shared" si="3"/>
        <v>2.6639178266828205E-2</v>
      </c>
      <c r="K111" s="12">
        <f t="shared" si="4"/>
        <v>-3.1393848090566265E-2</v>
      </c>
    </row>
    <row r="112" spans="1:11" x14ac:dyDescent="0.15">
      <c r="A112" s="2" t="s">
        <v>46</v>
      </c>
      <c r="B112" s="2" t="s">
        <v>80</v>
      </c>
      <c r="C112" s="2" t="s">
        <v>81</v>
      </c>
      <c r="D112" s="2">
        <v>3259.95</v>
      </c>
      <c r="E112" s="2">
        <v>3416.63</v>
      </c>
      <c r="F112" s="2">
        <v>2671.45</v>
      </c>
      <c r="G112">
        <f t="shared" si="5"/>
        <v>6.1437325397393772E-2</v>
      </c>
      <c r="H112" s="9">
        <f>VLOOKUP(A112,Table2[],3, FALSE)</f>
        <v>3.5773238773279988E-2</v>
      </c>
      <c r="I112" s="9">
        <f>VLOOKUP(A112,Table3[],3, FALSE)</f>
        <v>1.4987639212593606E-4</v>
      </c>
      <c r="J112" s="9">
        <f t="shared" si="3"/>
        <v>6.1287449005267836E-2</v>
      </c>
      <c r="K112" s="12">
        <f t="shared" si="4"/>
        <v>3.5623362381154051E-2</v>
      </c>
    </row>
    <row r="113" spans="1:11" x14ac:dyDescent="0.15">
      <c r="A113" s="2" t="s">
        <v>47</v>
      </c>
      <c r="B113" s="2" t="s">
        <v>80</v>
      </c>
      <c r="C113" s="2" t="s">
        <v>81</v>
      </c>
      <c r="D113" s="2">
        <v>2485.63</v>
      </c>
      <c r="E113" s="2">
        <v>3367.89</v>
      </c>
      <c r="F113" s="2">
        <v>2432.5</v>
      </c>
      <c r="G113">
        <f t="shared" si="5"/>
        <v>-0.23752511541588053</v>
      </c>
      <c r="H113" s="9">
        <f>VLOOKUP(A113,Table2[],3, FALSE)</f>
        <v>-8.7956719149039395E-2</v>
      </c>
      <c r="I113" s="9">
        <f>VLOOKUP(A113,Table3[],3, FALSE)</f>
        <v>2.5796701004310307E-4</v>
      </c>
      <c r="J113" s="9">
        <f t="shared" si="3"/>
        <v>-0.23778308242592364</v>
      </c>
      <c r="K113" s="12">
        <f t="shared" si="4"/>
        <v>-8.8214686159082498E-2</v>
      </c>
    </row>
    <row r="114" spans="1:11" x14ac:dyDescent="0.15">
      <c r="A114" s="2" t="s">
        <v>48</v>
      </c>
      <c r="B114" s="2" t="s">
        <v>80</v>
      </c>
      <c r="C114" s="2" t="s">
        <v>81</v>
      </c>
      <c r="D114" s="2">
        <v>2404.19</v>
      </c>
      <c r="E114" s="2">
        <v>2524.41</v>
      </c>
      <c r="F114" s="2">
        <v>2025.2</v>
      </c>
      <c r="G114">
        <f t="shared" si="5"/>
        <v>-3.2764329365191136E-2</v>
      </c>
      <c r="H114" s="9">
        <f>VLOOKUP(A114,Table2[],3, FALSE)</f>
        <v>5.3243883608711947E-5</v>
      </c>
      <c r="I114" s="9">
        <f>VLOOKUP(A114,Table3[],3, FALSE)</f>
        <v>4.8205321330185846E-4</v>
      </c>
      <c r="J114" s="9">
        <f t="shared" si="3"/>
        <v>-3.3246382578492994E-2</v>
      </c>
      <c r="K114" s="12">
        <f t="shared" si="4"/>
        <v>-4.2880932969314653E-4</v>
      </c>
    </row>
    <row r="115" spans="1:11" x14ac:dyDescent="0.15">
      <c r="A115" s="2" t="s">
        <v>49</v>
      </c>
      <c r="B115" s="2" t="s">
        <v>80</v>
      </c>
      <c r="C115" s="2" t="s">
        <v>81</v>
      </c>
      <c r="D115" s="2">
        <v>2124.1999999999998</v>
      </c>
      <c r="E115" s="2">
        <v>128.99</v>
      </c>
      <c r="F115" s="2">
        <v>101.43</v>
      </c>
      <c r="G115">
        <f t="shared" si="5"/>
        <v>-0.11645918167865278</v>
      </c>
      <c r="H115" s="9">
        <f>VLOOKUP(A115,Table2[],3, FALSE)</f>
        <v>-8.391999322386641E-2</v>
      </c>
      <c r="I115" s="9">
        <f>VLOOKUP(A115,Table3[],3, FALSE)</f>
        <v>8.7907064595027506E-4</v>
      </c>
      <c r="J115" s="9">
        <f t="shared" si="3"/>
        <v>-0.11733825232460306</v>
      </c>
      <c r="K115" s="12">
        <f t="shared" si="4"/>
        <v>-8.4799063869816685E-2</v>
      </c>
    </row>
    <row r="116" spans="1:11" x14ac:dyDescent="0.15">
      <c r="A116" s="2" t="s">
        <v>50</v>
      </c>
      <c r="B116" s="2" t="s">
        <v>80</v>
      </c>
      <c r="C116" s="2" t="s">
        <v>81</v>
      </c>
      <c r="D116" s="2">
        <v>2699</v>
      </c>
      <c r="E116" s="2">
        <v>137.65</v>
      </c>
      <c r="F116" s="2">
        <v>105.84690000000001</v>
      </c>
      <c r="G116">
        <f t="shared" si="5"/>
        <v>0.27059598907824134</v>
      </c>
      <c r="H116" s="9">
        <f>VLOOKUP(A116,Table2[],3, FALSE)</f>
        <v>9.1116347632205968E-2</v>
      </c>
      <c r="I116" s="9">
        <f>VLOOKUP(A116,Table3[],3, FALSE)</f>
        <v>1.5287470679612447E-3</v>
      </c>
      <c r="J116" s="9">
        <f t="shared" si="3"/>
        <v>0.26906724201028009</v>
      </c>
      <c r="K116" s="12">
        <f t="shared" si="4"/>
        <v>8.9587600564244724E-2</v>
      </c>
    </row>
    <row r="117" spans="1:11" x14ac:dyDescent="0.15">
      <c r="A117" s="2" t="s">
        <v>51</v>
      </c>
      <c r="B117" s="2" t="s">
        <v>80</v>
      </c>
      <c r="C117" s="2" t="s">
        <v>81</v>
      </c>
      <c r="D117" s="2">
        <v>2535.4</v>
      </c>
      <c r="E117" s="2">
        <v>146.57</v>
      </c>
      <c r="F117" s="2">
        <v>126.74</v>
      </c>
      <c r="G117">
        <f t="shared" si="5"/>
        <v>-6.0615042608373436E-2</v>
      </c>
      <c r="H117" s="9">
        <f>VLOOKUP(A117,Table2[],3, FALSE)</f>
        <v>-4.2440119216810436E-2</v>
      </c>
      <c r="I117" s="9">
        <f>VLOOKUP(A117,Table3[],3, FALSE)</f>
        <v>1.8804294971668245E-3</v>
      </c>
      <c r="J117" s="9">
        <f t="shared" si="3"/>
        <v>-6.249547210554026E-2</v>
      </c>
      <c r="K117" s="12">
        <f t="shared" si="4"/>
        <v>-4.4320548713977261E-2</v>
      </c>
    </row>
    <row r="118" spans="1:11" x14ac:dyDescent="0.15">
      <c r="A118" s="2" t="s">
        <v>52</v>
      </c>
      <c r="B118" s="2" t="s">
        <v>80</v>
      </c>
      <c r="C118" s="2" t="s">
        <v>81</v>
      </c>
      <c r="D118" s="2">
        <v>2260</v>
      </c>
      <c r="E118" s="2">
        <v>136.49</v>
      </c>
      <c r="F118" s="2">
        <v>112.06</v>
      </c>
      <c r="G118">
        <f t="shared" si="5"/>
        <v>-0.10862191370198</v>
      </c>
      <c r="H118" s="9">
        <f>VLOOKUP(A118,Table2[],3, FALSE)</f>
        <v>-9.3395701643489287E-2</v>
      </c>
      <c r="I118" s="9">
        <f>VLOOKUP(A118,Table3[],3, FALSE)</f>
        <v>2.1494073283745418E-3</v>
      </c>
      <c r="J118" s="9">
        <f t="shared" si="3"/>
        <v>-0.11077132103035454</v>
      </c>
      <c r="K118" s="12">
        <f t="shared" si="4"/>
        <v>-9.5545108971863829E-2</v>
      </c>
    </row>
    <row r="119" spans="1:11" x14ac:dyDescent="0.15">
      <c r="A119" s="2" t="s">
        <v>53</v>
      </c>
      <c r="B119" s="2" t="s">
        <v>80</v>
      </c>
      <c r="C119" s="2" t="s">
        <v>81</v>
      </c>
      <c r="D119" s="2">
        <v>2048.8000000000002</v>
      </c>
      <c r="E119" s="2">
        <v>123</v>
      </c>
      <c r="F119" s="2">
        <v>97.66</v>
      </c>
      <c r="G119">
        <f t="shared" si="5"/>
        <v>-9.3451327433628231E-2</v>
      </c>
      <c r="H119" s="9">
        <f>VLOOKUP(A119,Table2[],3, FALSE)</f>
        <v>7.9863454576893297E-2</v>
      </c>
      <c r="I119" s="9">
        <f>VLOOKUP(A119,Table3[],3, FALSE)</f>
        <v>2.7254391280759904E-3</v>
      </c>
      <c r="J119" s="9">
        <f t="shared" si="3"/>
        <v>-9.6176766561704222E-2</v>
      </c>
      <c r="K119" s="12">
        <f t="shared" si="4"/>
        <v>7.7138015448817307E-2</v>
      </c>
    </row>
    <row r="120" spans="1:11" x14ac:dyDescent="0.15">
      <c r="A120" s="2" t="s">
        <v>54</v>
      </c>
      <c r="B120" s="2" t="s">
        <v>80</v>
      </c>
      <c r="C120" s="2" t="s">
        <v>81</v>
      </c>
      <c r="D120" s="2">
        <v>1930.8000000000002</v>
      </c>
      <c r="E120" s="2">
        <v>104.58</v>
      </c>
      <c r="F120" s="2">
        <v>85.87</v>
      </c>
      <c r="G120">
        <f t="shared" si="5"/>
        <v>-5.7594689574385002E-2</v>
      </c>
      <c r="H120" s="9">
        <f>VLOOKUP(A120,Table2[],3, FALSE)</f>
        <v>5.375286029369989E-2</v>
      </c>
      <c r="I120" s="9">
        <f>VLOOKUP(A120,Table3[],3, FALSE)</f>
        <v>3.1691721789193217E-3</v>
      </c>
      <c r="J120" s="9">
        <f t="shared" si="3"/>
        <v>-6.0763861753304324E-2</v>
      </c>
      <c r="K120" s="12">
        <f t="shared" si="4"/>
        <v>5.0583688114780569E-2</v>
      </c>
    </row>
    <row r="121" spans="1:11" x14ac:dyDescent="0.15">
      <c r="A121" s="2" t="s">
        <v>55</v>
      </c>
      <c r="B121" s="2" t="s">
        <v>80</v>
      </c>
      <c r="C121" s="2" t="s">
        <v>81</v>
      </c>
      <c r="D121" s="2">
        <v>1680</v>
      </c>
      <c r="E121" s="2">
        <v>97.23</v>
      </c>
      <c r="F121" s="2">
        <v>81.69</v>
      </c>
      <c r="G121">
        <f t="shared" si="5"/>
        <v>-0.12989434431323812</v>
      </c>
      <c r="H121" s="9">
        <f>VLOOKUP(A121,Table2[],3, FALSE)</f>
        <v>-5.897144929916108E-2</v>
      </c>
      <c r="I121" s="9">
        <f>VLOOKUP(A121,Table3[],3, FALSE)</f>
        <v>3.1933138078821255E-3</v>
      </c>
      <c r="J121" s="9">
        <f t="shared" si="3"/>
        <v>-0.13308765812112025</v>
      </c>
      <c r="K121" s="12">
        <f t="shared" si="4"/>
        <v>-6.2164763107043206E-2</v>
      </c>
    </row>
    <row r="122" spans="1:11" x14ac:dyDescent="0.15">
      <c r="A122" s="2" t="s">
        <v>56</v>
      </c>
      <c r="B122" s="2" t="s">
        <v>80</v>
      </c>
      <c r="C122" s="2" t="s">
        <v>81</v>
      </c>
      <c r="D122" s="2">
        <v>2062.6</v>
      </c>
      <c r="E122" s="2">
        <v>103.485</v>
      </c>
      <c r="F122" s="2">
        <v>81.430000000000007</v>
      </c>
      <c r="G122">
        <f t="shared" si="5"/>
        <v>0.22773809523809518</v>
      </c>
      <c r="H122" s="9">
        <f>VLOOKUP(A122,Table2[],3, FALSE)</f>
        <v>6.1752832400052068E-2</v>
      </c>
      <c r="I122" s="9">
        <f>VLOOKUP(A122,Table3[],3, FALSE)</f>
        <v>3.690815569153072E-3</v>
      </c>
      <c r="J122" s="9">
        <f t="shared" si="3"/>
        <v>0.22404727966894211</v>
      </c>
      <c r="K122" s="12">
        <f t="shared" si="4"/>
        <v>5.8062016830898996E-2</v>
      </c>
    </row>
    <row r="123" spans="1:11" x14ac:dyDescent="0.15">
      <c r="A123" s="2" t="s">
        <v>57</v>
      </c>
      <c r="B123" s="2" t="s">
        <v>80</v>
      </c>
      <c r="C123" s="2" t="s">
        <v>81</v>
      </c>
      <c r="D123" s="2">
        <v>1884.6000000000001</v>
      </c>
      <c r="E123" s="2">
        <v>114</v>
      </c>
      <c r="F123" s="2">
        <v>92.318600000000004</v>
      </c>
      <c r="G123">
        <f t="shared" si="5"/>
        <v>-8.6298846116551822E-2</v>
      </c>
      <c r="H123" s="9">
        <f>VLOOKUP(A123,Table2[],3, FALSE)</f>
        <v>-2.6112446646715356E-2</v>
      </c>
      <c r="I123" s="9">
        <f>VLOOKUP(A123,Table3[],3, FALSE)</f>
        <v>3.7867936638156241E-3</v>
      </c>
      <c r="J123" s="9">
        <f t="shared" si="3"/>
        <v>-9.0085639780367446E-2</v>
      </c>
      <c r="K123" s="12">
        <f t="shared" si="4"/>
        <v>-2.989924031053098E-2</v>
      </c>
    </row>
    <row r="124" spans="1:11" x14ac:dyDescent="0.15">
      <c r="A124" s="2" t="s">
        <v>58</v>
      </c>
      <c r="B124" s="2" t="s">
        <v>80</v>
      </c>
      <c r="C124" s="2" t="s">
        <v>81</v>
      </c>
      <c r="D124" s="2">
        <v>2065.8000000000002</v>
      </c>
      <c r="E124" s="2">
        <v>103.49</v>
      </c>
      <c r="F124" s="2">
        <v>88.12</v>
      </c>
      <c r="G124">
        <f t="shared" si="5"/>
        <v>9.6147723654886996E-2</v>
      </c>
      <c r="H124" s="9">
        <f>VLOOKUP(A124,Table2[],3, FALSE)</f>
        <v>3.5051572358727079E-2</v>
      </c>
      <c r="I124" s="9">
        <f>VLOOKUP(A124,Table3[],3, FALSE)</f>
        <v>3.6668052630131065E-3</v>
      </c>
      <c r="J124" s="9">
        <f t="shared" si="3"/>
        <v>9.248091839187389E-2</v>
      </c>
      <c r="K124" s="12">
        <f t="shared" si="4"/>
        <v>3.1384767095713972E-2</v>
      </c>
    </row>
    <row r="125" spans="1:11" x14ac:dyDescent="0.15">
      <c r="A125" s="2" t="s">
        <v>59</v>
      </c>
      <c r="B125" s="2" t="s">
        <v>80</v>
      </c>
      <c r="C125" s="2" t="s">
        <v>81</v>
      </c>
      <c r="D125" s="2">
        <v>2109</v>
      </c>
      <c r="E125" s="2">
        <v>110.86</v>
      </c>
      <c r="F125" s="2">
        <v>97.704999999999998</v>
      </c>
      <c r="G125">
        <f t="shared" si="5"/>
        <v>2.0911995352889831E-2</v>
      </c>
      <c r="H125" s="9">
        <f>VLOOKUP(A125,Table2[],3, FALSE)</f>
        <v>1.4642360882970416E-2</v>
      </c>
      <c r="I125" s="9">
        <f>VLOOKUP(A125,Table3[],3, FALSE)</f>
        <v>3.4103013914235092E-3</v>
      </c>
      <c r="J125" s="9">
        <f t="shared" si="3"/>
        <v>1.7501693961466322E-2</v>
      </c>
      <c r="K125" s="12">
        <f t="shared" si="4"/>
        <v>1.1232059491546906E-2</v>
      </c>
    </row>
    <row r="126" spans="1:11" x14ac:dyDescent="0.15">
      <c r="A126" s="2" t="s">
        <v>60</v>
      </c>
      <c r="B126" s="2" t="s">
        <v>80</v>
      </c>
      <c r="C126" s="2" t="s">
        <v>81</v>
      </c>
      <c r="D126" s="2">
        <v>2411.6</v>
      </c>
      <c r="E126" s="2">
        <v>122.92</v>
      </c>
      <c r="F126" s="2">
        <v>101.15</v>
      </c>
      <c r="G126">
        <f t="shared" si="5"/>
        <v>0.14348032242769079</v>
      </c>
      <c r="H126" s="9">
        <f>VLOOKUP(A126,Table2[],3, FALSE)</f>
        <v>2.4823239348792572E-3</v>
      </c>
      <c r="I126" s="9">
        <f>VLOOKUP(A126,Table3[],3, FALSE)</f>
        <v>4.463764356697375E-3</v>
      </c>
      <c r="J126" s="9">
        <f t="shared" si="3"/>
        <v>0.13901655807099342</v>
      </c>
      <c r="K126" s="12">
        <f t="shared" si="4"/>
        <v>-1.9814404218181179E-3</v>
      </c>
    </row>
    <row r="127" spans="1:11" x14ac:dyDescent="0.15">
      <c r="A127" s="2" t="s">
        <v>61</v>
      </c>
      <c r="B127" s="2" t="s">
        <v>80</v>
      </c>
      <c r="C127" s="2" t="s">
        <v>81</v>
      </c>
      <c r="D127" s="2">
        <v>2607.2000000000003</v>
      </c>
      <c r="E127" s="2">
        <v>131.49</v>
      </c>
      <c r="F127" s="2">
        <v>119.93</v>
      </c>
      <c r="G127">
        <f t="shared" si="5"/>
        <v>8.1107978105822015E-2</v>
      </c>
      <c r="H127" s="9">
        <f>VLOOKUP(A127,Table2[],3, FALSE)</f>
        <v>6.4727512841431398E-2</v>
      </c>
      <c r="I127" s="9">
        <f>VLOOKUP(A127,Table3[],3, FALSE)</f>
        <v>4.2333616592649115E-3</v>
      </c>
      <c r="J127" s="9">
        <f t="shared" si="3"/>
        <v>7.6874616446557104E-2</v>
      </c>
      <c r="K127" s="12">
        <f t="shared" si="4"/>
        <v>6.0494151182166486E-2</v>
      </c>
    </row>
    <row r="128" spans="1:11" x14ac:dyDescent="0.15">
      <c r="A128" s="2" t="s">
        <v>62</v>
      </c>
      <c r="B128" s="2" t="s">
        <v>80</v>
      </c>
      <c r="C128" s="2" t="s">
        <v>81</v>
      </c>
      <c r="D128" s="2">
        <v>2673.6000000000004</v>
      </c>
      <c r="E128" s="2">
        <v>136.65</v>
      </c>
      <c r="F128" s="2">
        <v>125.91500000000001</v>
      </c>
      <c r="G128">
        <f t="shared" si="5"/>
        <v>2.5467934949371007E-2</v>
      </c>
      <c r="H128" s="9">
        <f>VLOOKUP(A128,Table2[],3, FALSE)</f>
        <v>3.1138913980379185E-2</v>
      </c>
      <c r="I128" s="9">
        <f>VLOOKUP(A128,Table3[],3, FALSE)</f>
        <v>4.3843808093919634E-3</v>
      </c>
      <c r="J128" s="9">
        <f t="shared" si="3"/>
        <v>2.1083554139979043E-2</v>
      </c>
      <c r="K128" s="12">
        <f t="shared" si="4"/>
        <v>2.6754533170987221E-2</v>
      </c>
    </row>
    <row r="129" spans="1:11" x14ac:dyDescent="0.15">
      <c r="A129" s="2" t="s">
        <v>63</v>
      </c>
      <c r="B129" s="2" t="s">
        <v>80</v>
      </c>
      <c r="C129" s="2" t="s">
        <v>81</v>
      </c>
      <c r="D129" s="2">
        <v>2760.2</v>
      </c>
      <c r="E129" s="2">
        <v>143.63</v>
      </c>
      <c r="F129" s="2">
        <v>126.41</v>
      </c>
      <c r="G129">
        <f t="shared" si="5"/>
        <v>3.2390783961699372E-2</v>
      </c>
      <c r="H129" s="9">
        <f>VLOOKUP(A129,Table2[],3, FALSE)</f>
        <v>-1.7716432481433741E-2</v>
      </c>
      <c r="I129" s="9">
        <f>VLOOKUP(A129,Table3[],3, FALSE)</f>
        <v>4.5034302658089054E-3</v>
      </c>
      <c r="J129" s="9">
        <f t="shared" si="3"/>
        <v>2.7887353695890467E-2</v>
      </c>
      <c r="K129" s="12">
        <f t="shared" si="4"/>
        <v>-2.2219862747242646E-2</v>
      </c>
    </row>
    <row r="130" spans="1:11" x14ac:dyDescent="0.15">
      <c r="A130" s="2" t="s">
        <v>64</v>
      </c>
      <c r="B130" s="2" t="s">
        <v>80</v>
      </c>
      <c r="C130" s="2" t="s">
        <v>81</v>
      </c>
      <c r="D130" s="2">
        <v>2542.4</v>
      </c>
      <c r="E130" s="2">
        <v>145.86000000000001</v>
      </c>
      <c r="F130" s="2">
        <v>123.04</v>
      </c>
      <c r="G130">
        <f t="shared" si="5"/>
        <v>-7.8907325556119026E-2</v>
      </c>
      <c r="H130" s="9">
        <f>VLOOKUP(A130,Table2[],3, FALSE)</f>
        <v>-4.8719291162155016E-2</v>
      </c>
      <c r="I130" s="9">
        <f>VLOOKUP(A130,Table3[],3, FALSE)</f>
        <v>4.4954984622596061E-3</v>
      </c>
      <c r="J130" s="9">
        <f t="shared" ref="J130:J193" si="6">G130-I130</f>
        <v>-8.3402824018378632E-2</v>
      </c>
      <c r="K130" s="12">
        <f t="shared" ref="K130:K193" si="7">H130-I130</f>
        <v>-5.3214789624414623E-2</v>
      </c>
    </row>
    <row r="131" spans="1:11" x14ac:dyDescent="0.15">
      <c r="A131" s="2" t="s">
        <v>65</v>
      </c>
      <c r="B131" s="2" t="s">
        <v>80</v>
      </c>
      <c r="C131" s="2" t="s">
        <v>81</v>
      </c>
      <c r="D131" s="2">
        <v>2661.8</v>
      </c>
      <c r="E131" s="2">
        <v>134.47999999999999</v>
      </c>
      <c r="F131" s="2">
        <v>118.35</v>
      </c>
      <c r="G131">
        <f t="shared" si="5"/>
        <v>4.6963499056010105E-2</v>
      </c>
      <c r="H131" s="9">
        <f>VLOOKUP(A131,Table2[],3, FALSE)</f>
        <v>-2.1979687736850082E-2</v>
      </c>
      <c r="I131" s="9">
        <f>VLOOKUP(A131,Table3[],3, FALSE)</f>
        <v>4.5272215436409358E-3</v>
      </c>
      <c r="J131" s="9">
        <f t="shared" si="6"/>
        <v>4.2436277512369169E-2</v>
      </c>
      <c r="K131" s="12">
        <f t="shared" si="7"/>
        <v>-2.6506909280491018E-2</v>
      </c>
    </row>
    <row r="132" spans="1:11" x14ac:dyDescent="0.15">
      <c r="A132" s="2" t="s">
        <v>66</v>
      </c>
      <c r="B132" s="2" t="s">
        <v>80</v>
      </c>
      <c r="C132" s="2" t="s">
        <v>81</v>
      </c>
      <c r="D132" s="2">
        <v>2921.8</v>
      </c>
      <c r="E132" s="2">
        <v>149.26</v>
      </c>
      <c r="F132" s="2">
        <v>133.71</v>
      </c>
      <c r="G132">
        <f t="shared" ref="G132:G195" si="8">(D132-D131)/D131</f>
        <v>9.7678262829664131E-2</v>
      </c>
      <c r="H132" s="9">
        <f>VLOOKUP(A132,Table2[],3, FALSE)</f>
        <v>8.9179264628737653E-2</v>
      </c>
      <c r="I132" s="9">
        <f>VLOOKUP(A132,Table3[],3, FALSE)</f>
        <v>4.4954984622596061E-3</v>
      </c>
      <c r="J132" s="9">
        <f t="shared" si="6"/>
        <v>9.3182764367404525E-2</v>
      </c>
      <c r="K132" s="12">
        <f t="shared" si="7"/>
        <v>8.4683766166478047E-2</v>
      </c>
    </row>
    <row r="133" spans="1:11" x14ac:dyDescent="0.15">
      <c r="A133" s="2" t="s">
        <v>67</v>
      </c>
      <c r="B133" s="2" t="s">
        <v>80</v>
      </c>
      <c r="C133" s="2" t="s">
        <v>81</v>
      </c>
      <c r="D133" s="2">
        <v>3038.8</v>
      </c>
      <c r="E133" s="2">
        <v>155.63</v>
      </c>
      <c r="F133" s="2">
        <v>142.81</v>
      </c>
      <c r="G133">
        <f t="shared" si="8"/>
        <v>4.0043808611130126E-2</v>
      </c>
      <c r="H133" s="9">
        <f>VLOOKUP(A133,Table2[],3, FALSE)</f>
        <v>4.4229169403213746E-2</v>
      </c>
      <c r="I133" s="9">
        <f>VLOOKUP(A133,Table3[],3, FALSE)</f>
        <v>4.5034302658089054E-3</v>
      </c>
      <c r="J133" s="9">
        <f t="shared" si="6"/>
        <v>3.554037834532122E-2</v>
      </c>
      <c r="K133" s="12">
        <f t="shared" si="7"/>
        <v>3.972573913740484E-2</v>
      </c>
    </row>
    <row r="134" spans="1:11" x14ac:dyDescent="0.15">
      <c r="A134" s="2" t="s">
        <v>68</v>
      </c>
      <c r="B134" s="2" t="s">
        <v>80</v>
      </c>
      <c r="C134" s="2" t="s">
        <v>81</v>
      </c>
      <c r="D134" s="2">
        <v>3104</v>
      </c>
      <c r="E134" s="2">
        <v>161.72999999999999</v>
      </c>
      <c r="F134" s="2">
        <v>144.05000000000001</v>
      </c>
      <c r="G134">
        <f t="shared" si="8"/>
        <v>2.1455837830722593E-2</v>
      </c>
      <c r="H134" s="9">
        <f>VLOOKUP(A134,Table2[],3, FALSE)</f>
        <v>1.5895744712075631E-2</v>
      </c>
      <c r="I134" s="9">
        <f>VLOOKUP(A134,Table3[],3, FALSE)</f>
        <v>4.5034302658089054E-3</v>
      </c>
      <c r="J134" s="9">
        <f t="shared" si="6"/>
        <v>1.6952407564913688E-2</v>
      </c>
      <c r="K134" s="12">
        <f t="shared" si="7"/>
        <v>1.1392314446266726E-2</v>
      </c>
    </row>
    <row r="135" spans="1:11" x14ac:dyDescent="0.15">
      <c r="A135" s="2" t="s">
        <v>69</v>
      </c>
      <c r="B135" s="2" t="s">
        <v>80</v>
      </c>
      <c r="C135" s="2" t="s">
        <v>81</v>
      </c>
      <c r="D135" s="2">
        <v>3535.2</v>
      </c>
      <c r="E135" s="2">
        <v>177.22</v>
      </c>
      <c r="F135" s="2">
        <v>155.62</v>
      </c>
      <c r="G135">
        <f t="shared" si="8"/>
        <v>0.13891752577319583</v>
      </c>
      <c r="H135" s="9">
        <f>VLOOKUP(A135,Table2[],3, FALSE)</f>
        <v>5.1720615397315289E-2</v>
      </c>
      <c r="I135" s="9">
        <f>VLOOKUP(A135,Table3[],3, FALSE)</f>
        <v>4.463764356697375E-3</v>
      </c>
      <c r="J135" s="9">
        <f t="shared" si="6"/>
        <v>0.13445376141649845</v>
      </c>
      <c r="K135" s="12">
        <f t="shared" si="7"/>
        <v>4.7256851040617914E-2</v>
      </c>
    </row>
    <row r="136" spans="1:11" x14ac:dyDescent="0.15">
      <c r="A136" s="2" t="s">
        <v>70</v>
      </c>
      <c r="B136" s="2" t="s">
        <v>80</v>
      </c>
      <c r="C136" s="2" t="s">
        <v>81</v>
      </c>
      <c r="D136" s="2">
        <v>3607.6</v>
      </c>
      <c r="E136" s="2">
        <v>181.7</v>
      </c>
      <c r="F136" s="2">
        <v>171.47</v>
      </c>
      <c r="G136">
        <f t="shared" si="8"/>
        <v>2.0479746548993011E-2</v>
      </c>
      <c r="H136" s="9">
        <f>VLOOKUP(A136,Table2[],3, FALSE)</f>
        <v>3.1018764704381814E-2</v>
      </c>
      <c r="I136" s="9">
        <f>VLOOKUP(A136,Table3[],3, FALSE)</f>
        <v>4.4796327880016751E-3</v>
      </c>
      <c r="J136" s="9">
        <f t="shared" si="6"/>
        <v>1.6000113760991336E-2</v>
      </c>
      <c r="K136" s="12">
        <f t="shared" si="7"/>
        <v>2.6539131916380139E-2</v>
      </c>
    </row>
    <row r="137" spans="1:11" x14ac:dyDescent="0.15">
      <c r="A137" s="2" t="s">
        <v>71</v>
      </c>
      <c r="B137" s="2" t="s">
        <v>80</v>
      </c>
      <c r="C137" s="2" t="s">
        <v>81</v>
      </c>
      <c r="D137" s="2">
        <v>3500</v>
      </c>
      <c r="E137" s="2">
        <v>189.77</v>
      </c>
      <c r="F137" s="2">
        <v>166.32</v>
      </c>
      <c r="G137">
        <f t="shared" si="8"/>
        <v>-2.9825923051336044E-2</v>
      </c>
      <c r="H137" s="9">
        <f>VLOOKUP(A137,Table2[],3, FALSE)</f>
        <v>-4.1615042774082567E-2</v>
      </c>
      <c r="I137" s="9">
        <f>VLOOKUP(A137,Table3[],3, FALSE)</f>
        <v>4.455829106839726E-3</v>
      </c>
      <c r="J137" s="9">
        <f t="shared" si="6"/>
        <v>-3.428175215817577E-2</v>
      </c>
      <c r="K137" s="12">
        <f t="shared" si="7"/>
        <v>-4.6070871880922293E-2</v>
      </c>
    </row>
    <row r="138" spans="1:11" x14ac:dyDescent="0.15">
      <c r="A138" s="2" t="s">
        <v>72</v>
      </c>
      <c r="B138" s="2" t="s">
        <v>80</v>
      </c>
      <c r="C138" s="2" t="s">
        <v>81</v>
      </c>
      <c r="D138" s="2">
        <v>3528.8</v>
      </c>
      <c r="E138" s="2">
        <v>191.7</v>
      </c>
      <c r="F138" s="2">
        <v>173.87</v>
      </c>
      <c r="G138">
        <f t="shared" si="8"/>
        <v>8.2285714285714809E-3</v>
      </c>
      <c r="H138" s="9">
        <f>VLOOKUP(A138,Table2[],3, FALSE)</f>
        <v>4.8021224499522536E-2</v>
      </c>
      <c r="I138" s="9">
        <f>VLOOKUP(A138,Table3[],3, FALSE)</f>
        <v>4.471698917043021E-3</v>
      </c>
      <c r="J138" s="9">
        <f t="shared" si="6"/>
        <v>3.7568725115284599E-3</v>
      </c>
      <c r="K138" s="12">
        <f t="shared" si="7"/>
        <v>4.3549525582479515E-2</v>
      </c>
    </row>
    <row r="139" spans="1:11" x14ac:dyDescent="0.15">
      <c r="A139" s="2" t="s">
        <v>73</v>
      </c>
      <c r="B139" s="2" t="s">
        <v>80</v>
      </c>
      <c r="C139" s="2" t="s">
        <v>81</v>
      </c>
      <c r="D139" s="2">
        <v>3865</v>
      </c>
      <c r="E139" s="2">
        <v>199.84</v>
      </c>
      <c r="F139" s="2">
        <v>175.92</v>
      </c>
      <c r="G139">
        <f t="shared" si="8"/>
        <v>9.5273180684651945E-2</v>
      </c>
      <c r="H139" s="9">
        <f>VLOOKUP(A139,Table2[],3, FALSE)</f>
        <v>3.4669759034089816E-2</v>
      </c>
      <c r="I139" s="9">
        <f>VLOOKUP(A139,Table3[],3, FALSE)</f>
        <v>4.439956538087042E-3</v>
      </c>
      <c r="J139" s="9">
        <f t="shared" si="6"/>
        <v>9.0833224146564903E-2</v>
      </c>
      <c r="K139" s="12">
        <f t="shared" si="7"/>
        <v>3.0229802496002774E-2</v>
      </c>
    </row>
    <row r="140" spans="1:11" x14ac:dyDescent="0.15">
      <c r="A140" s="2" t="s">
        <v>74</v>
      </c>
      <c r="B140" s="2" t="s">
        <v>80</v>
      </c>
      <c r="C140" s="2" t="s">
        <v>81</v>
      </c>
      <c r="D140" s="2">
        <v>3739.6</v>
      </c>
      <c r="E140" s="2">
        <v>201.2</v>
      </c>
      <c r="F140" s="2">
        <v>176.8</v>
      </c>
      <c r="G140">
        <f t="shared" si="8"/>
        <v>-3.2445019404915933E-2</v>
      </c>
      <c r="H140" s="9">
        <f>VLOOKUP(A140,Table2[],3, FALSE)</f>
        <v>1.1321349038912444E-2</v>
      </c>
      <c r="I140" s="9">
        <f>VLOOKUP(A140,Table3[],3, FALSE)</f>
        <v>4.455829106839726E-3</v>
      </c>
      <c r="J140" s="9">
        <f t="shared" si="6"/>
        <v>-3.6900848511755659E-2</v>
      </c>
      <c r="K140" s="12">
        <f t="shared" si="7"/>
        <v>6.8655199320727181E-3</v>
      </c>
    </row>
    <row r="141" spans="1:11" x14ac:dyDescent="0.15">
      <c r="A141" s="2" t="s">
        <v>75</v>
      </c>
      <c r="B141" s="2" t="s">
        <v>80</v>
      </c>
      <c r="C141" s="2" t="s">
        <v>81</v>
      </c>
      <c r="D141" s="2">
        <v>3570</v>
      </c>
      <c r="E141" s="2">
        <v>190.6</v>
      </c>
      <c r="F141" s="2">
        <v>151.61000000000001</v>
      </c>
      <c r="G141">
        <f t="shared" si="8"/>
        <v>-4.5352444111669672E-2</v>
      </c>
      <c r="H141" s="9">
        <f>VLOOKUP(A141,Table2[],3, FALSE)</f>
        <v>2.2834688445031861E-2</v>
      </c>
      <c r="I141" s="9">
        <f>VLOOKUP(A141,Table3[],3, FALSE)</f>
        <v>4.471698917043021E-3</v>
      </c>
      <c r="J141" s="9">
        <f t="shared" si="6"/>
        <v>-4.9824143028712693E-2</v>
      </c>
      <c r="K141" s="12">
        <f t="shared" si="7"/>
        <v>1.836298952798884E-2</v>
      </c>
    </row>
    <row r="142" spans="1:11" x14ac:dyDescent="0.15">
      <c r="A142" s="2" t="s">
        <v>76</v>
      </c>
      <c r="B142" s="2" t="s">
        <v>80</v>
      </c>
      <c r="C142" s="2" t="s">
        <v>81</v>
      </c>
      <c r="D142" s="2">
        <v>3726.6000000000004</v>
      </c>
      <c r="E142" s="2">
        <v>195.37</v>
      </c>
      <c r="F142" s="2">
        <v>171.16</v>
      </c>
      <c r="G142">
        <f t="shared" si="8"/>
        <v>4.3865546218487497E-2</v>
      </c>
      <c r="H142" s="9">
        <f>VLOOKUP(A142,Table2[],3, FALSE)</f>
        <v>2.0196869910063014E-2</v>
      </c>
      <c r="I142" s="9">
        <f>VLOOKUP(A142,Table3[],3, FALSE)</f>
        <v>4.1219243192651689E-3</v>
      </c>
      <c r="J142" s="9">
        <f t="shared" si="6"/>
        <v>3.9743621899222328E-2</v>
      </c>
      <c r="K142" s="12">
        <f t="shared" si="7"/>
        <v>1.6074945590797845E-2</v>
      </c>
    </row>
    <row r="143" spans="1:11" x14ac:dyDescent="0.15">
      <c r="A143" s="2" t="s">
        <v>77</v>
      </c>
      <c r="B143" s="2" t="s">
        <v>80</v>
      </c>
      <c r="C143" s="2" t="s">
        <v>81</v>
      </c>
      <c r="D143" s="2">
        <v>3728</v>
      </c>
      <c r="E143" s="2">
        <v>195.61</v>
      </c>
      <c r="F143" s="2">
        <v>180.25</v>
      </c>
      <c r="G143">
        <f t="shared" si="8"/>
        <v>3.7567756131584714E-4</v>
      </c>
      <c r="H143" s="9">
        <f>VLOOKUP(A143,Table2[],3, FALSE)</f>
        <v>-9.896780552817494E-3</v>
      </c>
      <c r="I143" s="9">
        <f>VLOOKUP(A143,Table3[],3, FALSE)</f>
        <v>4.0103507726252374E-3</v>
      </c>
      <c r="J143" s="9">
        <f t="shared" si="6"/>
        <v>-3.6346732113093903E-3</v>
      </c>
      <c r="K143" s="12">
        <f t="shared" si="7"/>
        <v>-1.3907131325442731E-2</v>
      </c>
    </row>
    <row r="144" spans="1:11" x14ac:dyDescent="0.15">
      <c r="A144" s="2" t="s">
        <v>78</v>
      </c>
      <c r="B144" s="2" t="s">
        <v>80</v>
      </c>
      <c r="C144" s="2" t="s">
        <v>81</v>
      </c>
      <c r="D144" s="2">
        <v>4157.7999999999993</v>
      </c>
      <c r="E144" s="2">
        <v>215.9</v>
      </c>
      <c r="F144" s="2">
        <v>194.31010000000001</v>
      </c>
      <c r="G144">
        <f t="shared" si="8"/>
        <v>0.11528969957081525</v>
      </c>
      <c r="H144" s="9">
        <f>VLOOKUP(A144,Table2[],3, FALSE)</f>
        <v>5.7301352215863834E-2</v>
      </c>
      <c r="I144" s="9">
        <f>VLOOKUP(A144,Table3[],3, FALSE)</f>
        <v>3.8427343023630378E-3</v>
      </c>
      <c r="J144" s="9">
        <f t="shared" si="6"/>
        <v>0.11144696526845221</v>
      </c>
      <c r="K144" s="12">
        <f t="shared" si="7"/>
        <v>5.3458617913500796E-2</v>
      </c>
    </row>
    <row r="145" spans="1:11" x14ac:dyDescent="0.15">
      <c r="A145" s="2" t="s">
        <v>79</v>
      </c>
      <c r="B145" s="2" t="s">
        <v>80</v>
      </c>
      <c r="C145" s="2" t="s">
        <v>81</v>
      </c>
      <c r="D145" s="2">
        <v>4387.7999999999993</v>
      </c>
      <c r="E145" s="2">
        <v>233</v>
      </c>
      <c r="F145" s="2">
        <v>209.51009999999999</v>
      </c>
      <c r="G145">
        <f t="shared" si="8"/>
        <v>5.5317716099860512E-2</v>
      </c>
      <c r="H145" s="9">
        <f>VLOOKUP(A145,Table2[],3, FALSE)</f>
        <v>-2.4990136563014929E-2</v>
      </c>
      <c r="I145" s="9">
        <f>VLOOKUP(A145,Table3[],3, FALSE)</f>
        <v>3.6748094004368514E-3</v>
      </c>
      <c r="J145" s="9">
        <f t="shared" si="6"/>
        <v>5.164290669942366E-2</v>
      </c>
      <c r="K145" s="12">
        <f t="shared" si="7"/>
        <v>-2.8664945963451781E-2</v>
      </c>
    </row>
    <row r="146" spans="1:11" x14ac:dyDescent="0.15">
      <c r="A146" s="2" t="s">
        <v>6</v>
      </c>
      <c r="B146" s="2" t="s">
        <v>82</v>
      </c>
      <c r="C146" s="2" t="s">
        <v>83</v>
      </c>
      <c r="D146" s="2">
        <v>10.16</v>
      </c>
      <c r="E146" s="2">
        <v>10.77</v>
      </c>
      <c r="F146" s="2">
        <v>7.41</v>
      </c>
      <c r="H146" s="9">
        <f>VLOOKUP(A146,Table2[],3, FALSE)</f>
        <v>0</v>
      </c>
      <c r="I146" s="9">
        <f>VLOOKUP(A146,Table3[],3, FALSE)</f>
        <v>1.9783315388433032E-3</v>
      </c>
      <c r="J146" s="9">
        <f t="shared" si="6"/>
        <v>-1.9783315388433032E-3</v>
      </c>
      <c r="K146" s="12">
        <f t="shared" si="7"/>
        <v>-1.9783315388433032E-3</v>
      </c>
    </row>
    <row r="147" spans="1:11" x14ac:dyDescent="0.15">
      <c r="A147" s="2" t="s">
        <v>9</v>
      </c>
      <c r="B147" s="2" t="s">
        <v>82</v>
      </c>
      <c r="C147" s="2" t="s">
        <v>83</v>
      </c>
      <c r="D147" s="2">
        <v>10.39</v>
      </c>
      <c r="E147" s="2">
        <v>11.75</v>
      </c>
      <c r="F147" s="2">
        <v>9.5399999999999991</v>
      </c>
      <c r="G147">
        <f t="shared" si="8"/>
        <v>2.2637795275590594E-2</v>
      </c>
      <c r="H147" s="9">
        <f>VLOOKUP(A147,Table2[],3, FALSE)</f>
        <v>2.9728930143115964E-2</v>
      </c>
      <c r="I147" s="9">
        <f>VLOOKUP(A147,Table3[],3, FALSE)</f>
        <v>2.0027906163269105E-3</v>
      </c>
      <c r="J147" s="9">
        <f t="shared" si="6"/>
        <v>2.0635004659263684E-2</v>
      </c>
      <c r="K147" s="12">
        <f t="shared" si="7"/>
        <v>2.7726139526789054E-2</v>
      </c>
    </row>
    <row r="148" spans="1:11" x14ac:dyDescent="0.15">
      <c r="A148" s="2" t="s">
        <v>10</v>
      </c>
      <c r="B148" s="2" t="s">
        <v>82</v>
      </c>
      <c r="C148" s="2" t="s">
        <v>83</v>
      </c>
      <c r="D148" s="2">
        <v>9.99</v>
      </c>
      <c r="E148" s="2">
        <v>10.57</v>
      </c>
      <c r="F148" s="2">
        <v>9.0500000000000007</v>
      </c>
      <c r="G148">
        <f t="shared" si="8"/>
        <v>-3.8498556304138627E-2</v>
      </c>
      <c r="H148" s="9">
        <f>VLOOKUP(A148,Table2[],3, FALSE)</f>
        <v>1.7924287751078408E-2</v>
      </c>
      <c r="I148" s="9">
        <f>VLOOKUP(A148,Table3[],3, FALSE)</f>
        <v>2.0190930200914003E-3</v>
      </c>
      <c r="J148" s="9">
        <f t="shared" si="6"/>
        <v>-4.0517649324230028E-2</v>
      </c>
      <c r="K148" s="12">
        <f t="shared" si="7"/>
        <v>1.5905194730987008E-2</v>
      </c>
    </row>
    <row r="149" spans="1:11" x14ac:dyDescent="0.15">
      <c r="A149" s="2" t="s">
        <v>11</v>
      </c>
      <c r="B149" s="2" t="s">
        <v>82</v>
      </c>
      <c r="C149" s="2" t="s">
        <v>83</v>
      </c>
      <c r="D149" s="2">
        <v>10.17</v>
      </c>
      <c r="E149" s="2">
        <v>10.53</v>
      </c>
      <c r="F149" s="2">
        <v>8.7899999999999991</v>
      </c>
      <c r="G149">
        <f t="shared" si="8"/>
        <v>1.801801801801799E-2</v>
      </c>
      <c r="H149" s="9">
        <f>VLOOKUP(A149,Table2[],3, FALSE)</f>
        <v>3.9313434942139368E-2</v>
      </c>
      <c r="I149" s="9">
        <f>VLOOKUP(A149,Table3[],3, FALSE)</f>
        <v>2.0027906163269105E-3</v>
      </c>
      <c r="J149" s="9">
        <f t="shared" si="6"/>
        <v>1.601522740169108E-2</v>
      </c>
      <c r="K149" s="12">
        <f t="shared" si="7"/>
        <v>3.7310644325812457E-2</v>
      </c>
    </row>
    <row r="150" spans="1:11" x14ac:dyDescent="0.15">
      <c r="A150" s="2" t="s">
        <v>12</v>
      </c>
      <c r="B150" s="2" t="s">
        <v>82</v>
      </c>
      <c r="C150" s="2" t="s">
        <v>83</v>
      </c>
      <c r="D150" s="2">
        <v>9.44</v>
      </c>
      <c r="E150" s="2">
        <v>10.5</v>
      </c>
      <c r="F150" s="2">
        <v>9.15</v>
      </c>
      <c r="G150">
        <f t="shared" si="8"/>
        <v>-7.1779744346116073E-2</v>
      </c>
      <c r="H150" s="9">
        <f>VLOOKUP(A150,Table2[],3, FALSE)</f>
        <v>-6.5777726481161508E-2</v>
      </c>
      <c r="I150" s="9">
        <f>VLOOKUP(A150,Table3[],3, FALSE)</f>
        <v>1.9783315388433032E-3</v>
      </c>
      <c r="J150" s="9">
        <f t="shared" si="6"/>
        <v>-7.3758075884959376E-2</v>
      </c>
      <c r="K150" s="12">
        <f t="shared" si="7"/>
        <v>-6.7756058020004811E-2</v>
      </c>
    </row>
    <row r="151" spans="1:11" x14ac:dyDescent="0.15">
      <c r="A151" s="2" t="s">
        <v>13</v>
      </c>
      <c r="B151" s="2" t="s">
        <v>82</v>
      </c>
      <c r="C151" s="2" t="s">
        <v>83</v>
      </c>
      <c r="D151" s="2">
        <v>10.5</v>
      </c>
      <c r="E151" s="2">
        <v>10.71</v>
      </c>
      <c r="F151" s="2">
        <v>9.25</v>
      </c>
      <c r="G151">
        <f t="shared" si="8"/>
        <v>0.1122881355932204</v>
      </c>
      <c r="H151" s="9">
        <f>VLOOKUP(A151,Table2[],3, FALSE)</f>
        <v>6.8930183208215035E-2</v>
      </c>
      <c r="I151" s="9">
        <f>VLOOKUP(A151,Table3[],3, FALSE)</f>
        <v>1.8314389855391688E-3</v>
      </c>
      <c r="J151" s="9">
        <f t="shared" si="6"/>
        <v>0.11045669660768123</v>
      </c>
      <c r="K151" s="12">
        <f t="shared" si="7"/>
        <v>6.7098744222675866E-2</v>
      </c>
    </row>
    <row r="152" spans="1:11" x14ac:dyDescent="0.15">
      <c r="A152" s="2" t="s">
        <v>14</v>
      </c>
      <c r="B152" s="2" t="s">
        <v>82</v>
      </c>
      <c r="C152" s="2" t="s">
        <v>83</v>
      </c>
      <c r="D152" s="2">
        <v>10.45</v>
      </c>
      <c r="E152" s="2">
        <v>10.79</v>
      </c>
      <c r="F152" s="2">
        <v>9.9600000000000009</v>
      </c>
      <c r="G152">
        <f t="shared" si="8"/>
        <v>-4.76190476190483E-3</v>
      </c>
      <c r="H152" s="9">
        <f>VLOOKUP(A152,Table2[],3, FALSE)</f>
        <v>1.312819536603934E-2</v>
      </c>
      <c r="I152" s="9">
        <f>VLOOKUP(A152,Table3[],3, FALSE)</f>
        <v>1.7742500619855051E-3</v>
      </c>
      <c r="J152" s="9">
        <f t="shared" si="6"/>
        <v>-6.536154823890335E-3</v>
      </c>
      <c r="K152" s="12">
        <f t="shared" si="7"/>
        <v>1.1353945304053835E-2</v>
      </c>
    </row>
    <row r="153" spans="1:11" x14ac:dyDescent="0.15">
      <c r="A153" s="2" t="s">
        <v>15</v>
      </c>
      <c r="B153" s="2" t="s">
        <v>82</v>
      </c>
      <c r="C153" s="2" t="s">
        <v>83</v>
      </c>
      <c r="D153" s="2">
        <v>8.25</v>
      </c>
      <c r="E153" s="2">
        <v>10.484999999999999</v>
      </c>
      <c r="F153" s="2">
        <v>7.65</v>
      </c>
      <c r="G153">
        <f t="shared" si="8"/>
        <v>-0.21052631578947362</v>
      </c>
      <c r="H153" s="9">
        <f>VLOOKUP(A153,Table2[],3, FALSE)</f>
        <v>-1.8091652742267789E-2</v>
      </c>
      <c r="I153" s="9">
        <f>VLOOKUP(A153,Table3[],3, FALSE)</f>
        <v>1.7088472872288651E-3</v>
      </c>
      <c r="J153" s="9">
        <f t="shared" si="6"/>
        <v>-0.21223516307670248</v>
      </c>
      <c r="K153" s="12">
        <f t="shared" si="7"/>
        <v>-1.9800500029496654E-2</v>
      </c>
    </row>
    <row r="154" spans="1:11" x14ac:dyDescent="0.15">
      <c r="A154" s="2" t="s">
        <v>16</v>
      </c>
      <c r="B154" s="2" t="s">
        <v>82</v>
      </c>
      <c r="C154" s="2" t="s">
        <v>83</v>
      </c>
      <c r="D154" s="2">
        <v>8.94</v>
      </c>
      <c r="E154" s="2">
        <v>9.5399999999999991</v>
      </c>
      <c r="F154" s="2">
        <v>8.08</v>
      </c>
      <c r="G154">
        <f t="shared" si="8"/>
        <v>8.3636363636363578E-2</v>
      </c>
      <c r="H154" s="9">
        <f>VLOOKUP(A154,Table2[],3, FALSE)</f>
        <v>1.7181167690656883E-2</v>
      </c>
      <c r="I154" s="9">
        <f>VLOOKUP(A154,Table3[],3, FALSE)</f>
        <v>1.6433975062259965E-3</v>
      </c>
      <c r="J154" s="9">
        <f t="shared" si="6"/>
        <v>8.1992966130137582E-2</v>
      </c>
      <c r="K154" s="12">
        <f t="shared" si="7"/>
        <v>1.5537770184430887E-2</v>
      </c>
    </row>
    <row r="155" spans="1:11" x14ac:dyDescent="0.15">
      <c r="A155" s="2" t="s">
        <v>17</v>
      </c>
      <c r="B155" s="2" t="s">
        <v>82</v>
      </c>
      <c r="C155" s="2" t="s">
        <v>83</v>
      </c>
      <c r="D155" s="2">
        <v>9.98</v>
      </c>
      <c r="E155" s="2">
        <v>10.37</v>
      </c>
      <c r="F155" s="2">
        <v>8.24</v>
      </c>
      <c r="G155">
        <f t="shared" si="8"/>
        <v>0.11633109619686811</v>
      </c>
      <c r="H155" s="9">
        <f>VLOOKUP(A155,Table2[],3, FALSE)</f>
        <v>2.0431747482144953E-2</v>
      </c>
      <c r="I155" s="9">
        <f>VLOOKUP(A155,Table3[],3, FALSE)</f>
        <v>1.4303602255574255E-3</v>
      </c>
      <c r="J155" s="9">
        <f t="shared" si="6"/>
        <v>0.11490073597131069</v>
      </c>
      <c r="K155" s="12">
        <f t="shared" si="7"/>
        <v>1.9001387256587527E-2</v>
      </c>
    </row>
    <row r="156" spans="1:11" x14ac:dyDescent="0.15">
      <c r="A156" s="2" t="s">
        <v>18</v>
      </c>
      <c r="B156" s="2" t="s">
        <v>82</v>
      </c>
      <c r="C156" s="2" t="s">
        <v>83</v>
      </c>
      <c r="D156" s="2">
        <v>11.27</v>
      </c>
      <c r="E156" s="2">
        <v>11.84</v>
      </c>
      <c r="F156" s="2">
        <v>10.06</v>
      </c>
      <c r="G156">
        <f t="shared" si="8"/>
        <v>0.12925851703406804</v>
      </c>
      <c r="H156" s="9">
        <f>VLOOKUP(A156,Table2[],3, FALSE)</f>
        <v>3.4047064090915104E-2</v>
      </c>
      <c r="I156" s="9">
        <f>VLOOKUP(A156,Table3[],3, FALSE)</f>
        <v>1.3072269593599195E-3</v>
      </c>
      <c r="J156" s="9">
        <f t="shared" si="6"/>
        <v>0.12795129007470812</v>
      </c>
      <c r="K156" s="12">
        <f t="shared" si="7"/>
        <v>3.2739837131555184E-2</v>
      </c>
    </row>
    <row r="157" spans="1:11" x14ac:dyDescent="0.15">
      <c r="A157" s="2" t="s">
        <v>19</v>
      </c>
      <c r="B157" s="2" t="s">
        <v>82</v>
      </c>
      <c r="C157" s="2" t="s">
        <v>83</v>
      </c>
      <c r="D157" s="2">
        <v>11.16</v>
      </c>
      <c r="E157" s="2">
        <v>11.6</v>
      </c>
      <c r="F157" s="2">
        <v>10.76</v>
      </c>
      <c r="G157">
        <f t="shared" si="8"/>
        <v>-9.7604259094941827E-3</v>
      </c>
      <c r="H157" s="9">
        <f>VLOOKUP(A157,Table2[],3, FALSE)</f>
        <v>2.8589803182446302E-2</v>
      </c>
      <c r="I157" s="9">
        <f>VLOOKUP(A157,Table3[],3, FALSE)</f>
        <v>1.2825803067024744E-3</v>
      </c>
      <c r="J157" s="9">
        <f t="shared" si="6"/>
        <v>-1.1043006216196657E-2</v>
      </c>
      <c r="K157" s="12">
        <f t="shared" si="7"/>
        <v>2.7307222875743827E-2</v>
      </c>
    </row>
    <row r="158" spans="1:11" x14ac:dyDescent="0.15">
      <c r="A158" s="2" t="s">
        <v>20</v>
      </c>
      <c r="B158" s="2" t="s">
        <v>82</v>
      </c>
      <c r="C158" s="2" t="s">
        <v>83</v>
      </c>
      <c r="D158" s="2">
        <v>12.45</v>
      </c>
      <c r="E158" s="2">
        <v>13</v>
      </c>
      <c r="F158" s="2">
        <v>11.23</v>
      </c>
      <c r="G158">
        <f t="shared" si="8"/>
        <v>0.11559139784946229</v>
      </c>
      <c r="H158" s="9">
        <f>VLOOKUP(A158,Table2[],3, FALSE)</f>
        <v>-1.6280898111292685E-3</v>
      </c>
      <c r="I158" s="9">
        <f>VLOOKUP(A158,Table3[],3, FALSE)</f>
        <v>1.2661454966749197E-3</v>
      </c>
      <c r="J158" s="9">
        <f t="shared" si="6"/>
        <v>0.11432525235278737</v>
      </c>
      <c r="K158" s="12">
        <f t="shared" si="7"/>
        <v>-2.8942353078041882E-3</v>
      </c>
    </row>
    <row r="159" spans="1:11" x14ac:dyDescent="0.15">
      <c r="A159" s="2" t="s">
        <v>21</v>
      </c>
      <c r="B159" s="2" t="s">
        <v>82</v>
      </c>
      <c r="C159" s="2" t="s">
        <v>83</v>
      </c>
      <c r="D159" s="2">
        <v>10.88</v>
      </c>
      <c r="E159" s="2">
        <v>13.26</v>
      </c>
      <c r="F159" s="2">
        <v>9.86</v>
      </c>
      <c r="G159">
        <f t="shared" si="8"/>
        <v>-0.12610441767068262</v>
      </c>
      <c r="H159" s="9">
        <f>VLOOKUP(A159,Table2[],3, FALSE)</f>
        <v>-8.4110469009648109E-2</v>
      </c>
      <c r="I159" s="9">
        <f>VLOOKUP(A159,Table3[],3, FALSE)</f>
        <v>1.3072269593599195E-3</v>
      </c>
      <c r="J159" s="9">
        <f t="shared" si="6"/>
        <v>-0.12741164463004254</v>
      </c>
      <c r="K159" s="12">
        <f t="shared" si="7"/>
        <v>-8.5417695969008028E-2</v>
      </c>
    </row>
    <row r="160" spans="1:11" x14ac:dyDescent="0.15">
      <c r="A160" s="2" t="s">
        <v>22</v>
      </c>
      <c r="B160" s="2" t="s">
        <v>82</v>
      </c>
      <c r="C160" s="2" t="s">
        <v>83</v>
      </c>
      <c r="D160" s="2">
        <v>7.94</v>
      </c>
      <c r="E160" s="2">
        <v>11.38</v>
      </c>
      <c r="F160" s="2">
        <v>5.9</v>
      </c>
      <c r="G160">
        <f t="shared" si="8"/>
        <v>-0.27022058823529416</v>
      </c>
      <c r="H160" s="9">
        <f>VLOOKUP(A160,Table2[],3, FALSE)</f>
        <v>-0.12511932083595659</v>
      </c>
      <c r="I160" s="9">
        <f>VLOOKUP(A160,Table3[],3, FALSE)</f>
        <v>3.0781168409865778E-4</v>
      </c>
      <c r="J160" s="9">
        <f t="shared" si="6"/>
        <v>-0.27052839991939281</v>
      </c>
      <c r="K160" s="12">
        <f t="shared" si="7"/>
        <v>-0.12542713252005525</v>
      </c>
    </row>
    <row r="161" spans="1:11" x14ac:dyDescent="0.15">
      <c r="A161" s="2" t="s">
        <v>23</v>
      </c>
      <c r="B161" s="2" t="s">
        <v>82</v>
      </c>
      <c r="C161" s="2" t="s">
        <v>83</v>
      </c>
      <c r="D161" s="2">
        <v>6.8</v>
      </c>
      <c r="E161" s="2">
        <v>7.75</v>
      </c>
      <c r="F161" s="2">
        <v>6.2</v>
      </c>
      <c r="G161">
        <f t="shared" si="8"/>
        <v>-0.14357682619647361</v>
      </c>
      <c r="H161" s="9">
        <f>VLOOKUP(A161,Table2[],3, FALSE)</f>
        <v>0.12684410293315368</v>
      </c>
      <c r="I161" s="9">
        <f>VLOOKUP(A161,Table3[],3, FALSE)</f>
        <v>9.1620483841925449E-5</v>
      </c>
      <c r="J161" s="9">
        <f t="shared" si="6"/>
        <v>-0.14366844668031553</v>
      </c>
      <c r="K161" s="12">
        <f t="shared" si="7"/>
        <v>0.12675248244931175</v>
      </c>
    </row>
    <row r="162" spans="1:11" x14ac:dyDescent="0.15">
      <c r="A162" s="2" t="s">
        <v>24</v>
      </c>
      <c r="B162" s="2" t="s">
        <v>82</v>
      </c>
      <c r="C162" s="2" t="s">
        <v>83</v>
      </c>
      <c r="D162" s="2">
        <v>6.57</v>
      </c>
      <c r="E162" s="2">
        <v>7.49</v>
      </c>
      <c r="F162" s="2">
        <v>5.48</v>
      </c>
      <c r="G162">
        <f t="shared" si="8"/>
        <v>-3.3823529411764641E-2</v>
      </c>
      <c r="H162" s="9">
        <f>VLOOKUP(A162,Table2[],3, FALSE)</f>
        <v>4.5281775012618368E-2</v>
      </c>
      <c r="I162" s="9">
        <f>VLOOKUP(A162,Table3[],3, FALSE)</f>
        <v>8.3295163273211514E-5</v>
      </c>
      <c r="J162" s="9">
        <f t="shared" si="6"/>
        <v>-3.3906824575037853E-2</v>
      </c>
      <c r="K162" s="12">
        <f t="shared" si="7"/>
        <v>4.5198479849345156E-2</v>
      </c>
    </row>
    <row r="163" spans="1:11" x14ac:dyDescent="0.15">
      <c r="A163" s="2" t="s">
        <v>25</v>
      </c>
      <c r="B163" s="2" t="s">
        <v>82</v>
      </c>
      <c r="C163" s="2" t="s">
        <v>83</v>
      </c>
      <c r="D163" s="2">
        <v>6.83</v>
      </c>
      <c r="E163" s="2">
        <v>8.57</v>
      </c>
      <c r="F163" s="2">
        <v>6.42</v>
      </c>
      <c r="G163">
        <f t="shared" si="8"/>
        <v>3.9573820395738167E-2</v>
      </c>
      <c r="H163" s="9">
        <f>VLOOKUP(A163,Table2[],3, FALSE)</f>
        <v>1.838840328350267E-2</v>
      </c>
      <c r="I163" s="9">
        <f>VLOOKUP(A163,Table3[],3, FALSE)</f>
        <v>1.0826883828274347E-4</v>
      </c>
      <c r="J163" s="9">
        <f t="shared" si="6"/>
        <v>3.9465551557455424E-2</v>
      </c>
      <c r="K163" s="12">
        <f t="shared" si="7"/>
        <v>1.8280134445219927E-2</v>
      </c>
    </row>
    <row r="164" spans="1:11" x14ac:dyDescent="0.15">
      <c r="A164" s="2" t="s">
        <v>26</v>
      </c>
      <c r="B164" s="2" t="s">
        <v>82</v>
      </c>
      <c r="C164" s="2" t="s">
        <v>83</v>
      </c>
      <c r="D164" s="2">
        <v>6.07</v>
      </c>
      <c r="E164" s="2">
        <v>7.21</v>
      </c>
      <c r="F164" s="2">
        <v>6</v>
      </c>
      <c r="G164">
        <f t="shared" si="8"/>
        <v>-0.11127379209370421</v>
      </c>
      <c r="H164" s="9">
        <f>VLOOKUP(A164,Table2[],3, FALSE)</f>
        <v>5.5101296975444213E-2</v>
      </c>
      <c r="I164" s="9">
        <f>VLOOKUP(A164,Table3[],3, FALSE)</f>
        <v>9.1620483841925449E-5</v>
      </c>
      <c r="J164" s="9">
        <f t="shared" si="6"/>
        <v>-0.11136541257754613</v>
      </c>
      <c r="K164" s="12">
        <f t="shared" si="7"/>
        <v>5.5009676491602287E-2</v>
      </c>
    </row>
    <row r="165" spans="1:11" x14ac:dyDescent="0.15">
      <c r="A165" s="2" t="s">
        <v>27</v>
      </c>
      <c r="B165" s="2" t="s">
        <v>82</v>
      </c>
      <c r="C165" s="2" t="s">
        <v>83</v>
      </c>
      <c r="D165" s="2">
        <v>6.34</v>
      </c>
      <c r="E165" s="2">
        <v>7</v>
      </c>
      <c r="F165" s="2">
        <v>6.02</v>
      </c>
      <c r="G165">
        <f t="shared" si="8"/>
        <v>4.448105436573304E-2</v>
      </c>
      <c r="H165" s="9">
        <f>VLOOKUP(A165,Table2[],3, FALSE)</f>
        <v>7.0064687324219249E-2</v>
      </c>
      <c r="I165" s="9">
        <f>VLOOKUP(A165,Table3[],3, FALSE)</f>
        <v>6.6642234708869097E-5</v>
      </c>
      <c r="J165" s="9">
        <f t="shared" si="6"/>
        <v>4.4414412131024171E-2</v>
      </c>
      <c r="K165" s="12">
        <f t="shared" si="7"/>
        <v>6.999804508951038E-2</v>
      </c>
    </row>
    <row r="166" spans="1:11" x14ac:dyDescent="0.15">
      <c r="A166" s="2" t="s">
        <v>28</v>
      </c>
      <c r="B166" s="2" t="s">
        <v>82</v>
      </c>
      <c r="C166" s="2" t="s">
        <v>83</v>
      </c>
      <c r="D166" s="2">
        <v>6.23</v>
      </c>
      <c r="E166" s="2">
        <v>7.18</v>
      </c>
      <c r="F166" s="2">
        <v>5.93</v>
      </c>
      <c r="G166">
        <f t="shared" si="8"/>
        <v>-1.7350157728706534E-2</v>
      </c>
      <c r="H166" s="9">
        <f>VLOOKUP(A166,Table2[],3, FALSE)</f>
        <v>-3.9227954095494386E-2</v>
      </c>
      <c r="I166" s="9">
        <f>VLOOKUP(A166,Table3[],3, FALSE)</f>
        <v>7.4969080277487166E-5</v>
      </c>
      <c r="J166" s="9">
        <f t="shared" si="6"/>
        <v>-1.7425126808984021E-2</v>
      </c>
      <c r="K166" s="12">
        <f t="shared" si="7"/>
        <v>-3.9302923175771873E-2</v>
      </c>
    </row>
    <row r="167" spans="1:11" x14ac:dyDescent="0.15">
      <c r="A167" s="2" t="s">
        <v>29</v>
      </c>
      <c r="B167" s="2" t="s">
        <v>82</v>
      </c>
      <c r="C167" s="2" t="s">
        <v>83</v>
      </c>
      <c r="D167" s="2">
        <v>7.42</v>
      </c>
      <c r="E167" s="2">
        <v>8.0299999999999994</v>
      </c>
      <c r="F167" s="2">
        <v>6.05</v>
      </c>
      <c r="G167">
        <f t="shared" si="8"/>
        <v>0.19101123595505609</v>
      </c>
      <c r="H167" s="9">
        <f>VLOOKUP(A167,Table2[],3, FALSE)</f>
        <v>-2.766577460600653E-2</v>
      </c>
      <c r="I167" s="9">
        <f>VLOOKUP(A167,Table3[],3, FALSE)</f>
        <v>7.4969080277487166E-5</v>
      </c>
      <c r="J167" s="9">
        <f t="shared" si="6"/>
        <v>0.1909362668747786</v>
      </c>
      <c r="K167" s="12">
        <f t="shared" si="7"/>
        <v>-2.7740743686284017E-2</v>
      </c>
    </row>
    <row r="168" spans="1:11" x14ac:dyDescent="0.15">
      <c r="A168" s="2" t="s">
        <v>30</v>
      </c>
      <c r="B168" s="2" t="s">
        <v>82</v>
      </c>
      <c r="C168" s="2" t="s">
        <v>83</v>
      </c>
      <c r="D168" s="2">
        <v>10.18</v>
      </c>
      <c r="E168" s="2">
        <v>10.85</v>
      </c>
      <c r="F168" s="2">
        <v>7.33</v>
      </c>
      <c r="G168">
        <f t="shared" si="8"/>
        <v>0.3719676549865229</v>
      </c>
      <c r="H168" s="9">
        <f>VLOOKUP(A168,Table2[],3, FALSE)</f>
        <v>0.10754565805086302</v>
      </c>
      <c r="I168" s="9">
        <f>VLOOKUP(A168,Table3[],3, FALSE)</f>
        <v>7.4969080277487166E-5</v>
      </c>
      <c r="J168" s="9">
        <f t="shared" si="6"/>
        <v>0.37189268590624541</v>
      </c>
      <c r="K168" s="12">
        <f t="shared" si="7"/>
        <v>0.10747068897058554</v>
      </c>
    </row>
    <row r="169" spans="1:11" x14ac:dyDescent="0.15">
      <c r="A169" s="2" t="s">
        <v>31</v>
      </c>
      <c r="B169" s="2" t="s">
        <v>82</v>
      </c>
      <c r="C169" s="2" t="s">
        <v>83</v>
      </c>
      <c r="D169" s="2">
        <v>10.8</v>
      </c>
      <c r="E169" s="2">
        <v>11.49</v>
      </c>
      <c r="F169" s="2">
        <v>10.01</v>
      </c>
      <c r="G169">
        <f t="shared" si="8"/>
        <v>6.0903732809430358E-2</v>
      </c>
      <c r="H169" s="9">
        <f>VLOOKUP(A169,Table2[],3, FALSE)</f>
        <v>3.7121406659432372E-2</v>
      </c>
      <c r="I169" s="9">
        <f>VLOOKUP(A169,Table3[],3, FALSE)</f>
        <v>6.6642234708869097E-5</v>
      </c>
      <c r="J169" s="9">
        <f t="shared" si="6"/>
        <v>6.0837090574721489E-2</v>
      </c>
      <c r="K169" s="12">
        <f t="shared" si="7"/>
        <v>3.7054764424723503E-2</v>
      </c>
    </row>
    <row r="170" spans="1:11" x14ac:dyDescent="0.15">
      <c r="A170" s="2" t="s">
        <v>32</v>
      </c>
      <c r="B170" s="2" t="s">
        <v>82</v>
      </c>
      <c r="C170" s="2" t="s">
        <v>83</v>
      </c>
      <c r="D170" s="2">
        <v>10.68</v>
      </c>
      <c r="E170" s="2">
        <v>12.23</v>
      </c>
      <c r="F170" s="2">
        <v>10.4</v>
      </c>
      <c r="G170">
        <f t="shared" si="8"/>
        <v>-1.1111111111111202E-2</v>
      </c>
      <c r="H170" s="9">
        <f>VLOOKUP(A170,Table2[],3, FALSE)</f>
        <v>-1.1136640158463601E-2</v>
      </c>
      <c r="I170" s="9">
        <f>VLOOKUP(A170,Table3[],3, FALSE)</f>
        <v>6.6642234708869097E-5</v>
      </c>
      <c r="J170" s="9">
        <f t="shared" si="6"/>
        <v>-1.1177753345820071E-2</v>
      </c>
      <c r="K170" s="12">
        <f t="shared" si="7"/>
        <v>-1.120328239317247E-2</v>
      </c>
    </row>
    <row r="171" spans="1:11" x14ac:dyDescent="0.15">
      <c r="A171" s="2" t="s">
        <v>33</v>
      </c>
      <c r="B171" s="2" t="s">
        <v>82</v>
      </c>
      <c r="C171" s="2" t="s">
        <v>83</v>
      </c>
      <c r="D171" s="2">
        <v>12.54</v>
      </c>
      <c r="E171" s="2">
        <v>13.35</v>
      </c>
      <c r="F171" s="2">
        <v>10.64</v>
      </c>
      <c r="G171">
        <f t="shared" si="8"/>
        <v>0.17415730337078647</v>
      </c>
      <c r="H171" s="9">
        <f>VLOOKUP(A171,Table2[],3, FALSE)</f>
        <v>2.6091474971999741E-2</v>
      </c>
      <c r="I171" s="9">
        <f>VLOOKUP(A171,Table3[],3, FALSE)</f>
        <v>3.3327223783574667E-5</v>
      </c>
      <c r="J171" s="9">
        <f t="shared" si="6"/>
        <v>0.1741239761470029</v>
      </c>
      <c r="K171" s="12">
        <f t="shared" si="7"/>
        <v>2.6058147748216166E-2</v>
      </c>
    </row>
    <row r="172" spans="1:11" x14ac:dyDescent="0.15">
      <c r="A172" s="2" t="s">
        <v>34</v>
      </c>
      <c r="B172" s="2" t="s">
        <v>82</v>
      </c>
      <c r="C172" s="2" t="s">
        <v>83</v>
      </c>
      <c r="D172" s="2">
        <v>13.13</v>
      </c>
      <c r="E172" s="2">
        <v>14.414999999999999</v>
      </c>
      <c r="F172" s="2">
        <v>11.95</v>
      </c>
      <c r="G172">
        <f t="shared" si="8"/>
        <v>4.7049441786284028E-2</v>
      </c>
      <c r="H172" s="9">
        <f>VLOOKUP(A172,Table2[],3, FALSE)</f>
        <v>4.2438634008107733E-2</v>
      </c>
      <c r="I172" s="9">
        <f>VLOOKUP(A172,Table3[],3, FALSE)</f>
        <v>1.6665139084048874E-5</v>
      </c>
      <c r="J172" s="9">
        <f t="shared" si="6"/>
        <v>4.7032776647199979E-2</v>
      </c>
      <c r="K172" s="12">
        <f t="shared" si="7"/>
        <v>4.2421968869023684E-2</v>
      </c>
    </row>
    <row r="173" spans="1:11" x14ac:dyDescent="0.15">
      <c r="A173" s="2" t="s">
        <v>35</v>
      </c>
      <c r="B173" s="2" t="s">
        <v>82</v>
      </c>
      <c r="C173" s="2" t="s">
        <v>83</v>
      </c>
      <c r="D173" s="2">
        <v>13.12</v>
      </c>
      <c r="E173" s="2">
        <v>14</v>
      </c>
      <c r="F173" s="2">
        <v>12.77</v>
      </c>
      <c r="G173">
        <f t="shared" si="8"/>
        <v>-7.6161462300088068E-4</v>
      </c>
      <c r="H173" s="9">
        <f>VLOOKUP(A173,Table2[],3, FALSE)</f>
        <v>5.2425312555847307E-2</v>
      </c>
      <c r="I173" s="9">
        <f>VLOOKUP(A173,Table3[],3, FALSE)</f>
        <v>1.6665139084048874E-5</v>
      </c>
      <c r="J173" s="9">
        <f t="shared" si="6"/>
        <v>-7.7827976208492955E-4</v>
      </c>
      <c r="K173" s="12">
        <f t="shared" si="7"/>
        <v>5.2408647416763258E-2</v>
      </c>
    </row>
    <row r="174" spans="1:11" x14ac:dyDescent="0.15">
      <c r="A174" s="2" t="s">
        <v>36</v>
      </c>
      <c r="B174" s="2" t="s">
        <v>82</v>
      </c>
      <c r="C174" s="2" t="s">
        <v>83</v>
      </c>
      <c r="D174" s="2">
        <v>14.06</v>
      </c>
      <c r="E174" s="2">
        <v>14.4</v>
      </c>
      <c r="F174" s="2">
        <v>12.72</v>
      </c>
      <c r="G174">
        <f t="shared" si="8"/>
        <v>7.1646341463414739E-2</v>
      </c>
      <c r="H174" s="9">
        <f>VLOOKUP(A174,Table2[],3, FALSE)</f>
        <v>5.4865025818131288E-3</v>
      </c>
      <c r="I174" s="9">
        <f>VLOOKUP(A174,Table3[],3, FALSE)</f>
        <v>8.3329514133367866E-6</v>
      </c>
      <c r="J174" s="9">
        <f t="shared" si="6"/>
        <v>7.1638008512001403E-2</v>
      </c>
      <c r="K174" s="12">
        <f t="shared" si="7"/>
        <v>5.478169630399792E-3</v>
      </c>
    </row>
    <row r="175" spans="1:11" x14ac:dyDescent="0.15">
      <c r="A175" s="2" t="s">
        <v>37</v>
      </c>
      <c r="B175" s="2" t="s">
        <v>82</v>
      </c>
      <c r="C175" s="2" t="s">
        <v>83</v>
      </c>
      <c r="D175" s="2">
        <v>13.46</v>
      </c>
      <c r="E175" s="2">
        <v>14.37</v>
      </c>
      <c r="F175" s="2">
        <v>12.75</v>
      </c>
      <c r="G175">
        <f t="shared" si="8"/>
        <v>-4.2674253200568966E-2</v>
      </c>
      <c r="H175" s="9">
        <f>VLOOKUP(A175,Table2[],3, FALSE)</f>
        <v>2.221397632316955E-2</v>
      </c>
      <c r="I175" s="9">
        <f>VLOOKUP(A175,Table3[],3, FALSE)</f>
        <v>2.4996563158685703E-5</v>
      </c>
      <c r="J175" s="9">
        <f t="shared" si="6"/>
        <v>-4.2699249763727652E-2</v>
      </c>
      <c r="K175" s="12">
        <f t="shared" si="7"/>
        <v>2.2188979760010864E-2</v>
      </c>
    </row>
    <row r="176" spans="1:11" x14ac:dyDescent="0.15">
      <c r="A176" s="2" t="s">
        <v>38</v>
      </c>
      <c r="B176" s="2" t="s">
        <v>82</v>
      </c>
      <c r="C176" s="2" t="s">
        <v>83</v>
      </c>
      <c r="D176" s="2">
        <v>12.95</v>
      </c>
      <c r="E176" s="2">
        <v>13.63</v>
      </c>
      <c r="F176" s="2">
        <v>11.82</v>
      </c>
      <c r="G176">
        <f t="shared" si="8"/>
        <v>-3.7890044576523146E-2</v>
      </c>
      <c r="H176" s="9">
        <f>VLOOKUP(A176,Table2[],3, FALSE)</f>
        <v>2.2748109365910464E-2</v>
      </c>
      <c r="I176" s="9">
        <f>VLOOKUP(A176,Table3[],3, FALSE)</f>
        <v>4.1657121104599071E-5</v>
      </c>
      <c r="J176" s="9">
        <f t="shared" si="6"/>
        <v>-3.7931701697627745E-2</v>
      </c>
      <c r="K176" s="12">
        <f t="shared" si="7"/>
        <v>2.2706452244805865E-2</v>
      </c>
    </row>
    <row r="177" spans="1:11" x14ac:dyDescent="0.15">
      <c r="A177" s="2" t="s">
        <v>39</v>
      </c>
      <c r="B177" s="2" t="s">
        <v>82</v>
      </c>
      <c r="C177" s="2" t="s">
        <v>83</v>
      </c>
      <c r="D177" s="2">
        <v>13.17625</v>
      </c>
      <c r="E177" s="2">
        <v>107.23</v>
      </c>
      <c r="F177" s="2">
        <v>98.11</v>
      </c>
      <c r="G177">
        <f t="shared" si="8"/>
        <v>1.7471042471042492E-2</v>
      </c>
      <c r="H177" s="9">
        <f>VLOOKUP(A177,Table2[],3, FALSE)</f>
        <v>2.8990321391681052E-2</v>
      </c>
      <c r="I177" s="9">
        <f>VLOOKUP(A177,Table3[],3, FALSE)</f>
        <v>3.3327223783574667E-5</v>
      </c>
      <c r="J177" s="9">
        <f t="shared" si="6"/>
        <v>1.7437715247258918E-2</v>
      </c>
      <c r="K177" s="12">
        <f t="shared" si="7"/>
        <v>2.8956994167897477E-2</v>
      </c>
    </row>
    <row r="178" spans="1:11" x14ac:dyDescent="0.15">
      <c r="A178" s="2" t="s">
        <v>40</v>
      </c>
      <c r="B178" s="2" t="s">
        <v>82</v>
      </c>
      <c r="C178" s="2" t="s">
        <v>83</v>
      </c>
      <c r="D178" s="2">
        <v>12.87875</v>
      </c>
      <c r="E178" s="2">
        <v>107.36</v>
      </c>
      <c r="F178" s="2">
        <v>96.21</v>
      </c>
      <c r="G178">
        <f t="shared" si="8"/>
        <v>-2.2578502988331237E-2</v>
      </c>
      <c r="H178" s="9">
        <f>VLOOKUP(A178,Table2[],3, FALSE)</f>
        <v>-4.7569140421166278E-2</v>
      </c>
      <c r="I178" s="9">
        <f>VLOOKUP(A178,Table3[],3, FALSE)</f>
        <v>4.1657121104599071E-5</v>
      </c>
      <c r="J178" s="9">
        <f t="shared" si="6"/>
        <v>-2.2620160109435836E-2</v>
      </c>
      <c r="K178" s="12">
        <f t="shared" si="7"/>
        <v>-4.7610797542270877E-2</v>
      </c>
    </row>
    <row r="179" spans="1:11" x14ac:dyDescent="0.15">
      <c r="A179" s="2" t="s">
        <v>41</v>
      </c>
      <c r="B179" s="2" t="s">
        <v>82</v>
      </c>
      <c r="C179" s="2" t="s">
        <v>83</v>
      </c>
      <c r="D179" s="2">
        <v>13.108750000000001</v>
      </c>
      <c r="E179" s="2">
        <v>110.97</v>
      </c>
      <c r="F179" s="2">
        <v>101.18</v>
      </c>
      <c r="G179">
        <f t="shared" si="8"/>
        <v>1.7858876055517843E-2</v>
      </c>
      <c r="H179" s="9">
        <f>VLOOKUP(A179,Table2[],3, FALSE)</f>
        <v>6.9143873301234615E-2</v>
      </c>
      <c r="I179" s="9">
        <f>VLOOKUP(A179,Table3[],3, FALSE)</f>
        <v>4.99862552685304E-5</v>
      </c>
      <c r="J179" s="9">
        <f t="shared" si="6"/>
        <v>1.7808889800249313E-2</v>
      </c>
      <c r="K179" s="12">
        <f t="shared" si="7"/>
        <v>6.9093887045966085E-2</v>
      </c>
    </row>
    <row r="180" spans="1:11" x14ac:dyDescent="0.15">
      <c r="A180" s="2" t="s">
        <v>42</v>
      </c>
      <c r="B180" s="2" t="s">
        <v>82</v>
      </c>
      <c r="C180" s="2" t="s">
        <v>83</v>
      </c>
      <c r="D180" s="2">
        <v>11.873749999999999</v>
      </c>
      <c r="E180" s="2">
        <v>116.16500000000001</v>
      </c>
      <c r="F180" s="2">
        <v>94.47</v>
      </c>
      <c r="G180">
        <f t="shared" si="8"/>
        <v>-9.4211881376942974E-2</v>
      </c>
      <c r="H180" s="9">
        <f>VLOOKUP(A180,Table2[],3, FALSE)</f>
        <v>-8.3337314184714628E-3</v>
      </c>
      <c r="I180" s="9">
        <f>VLOOKUP(A180,Table3[],3, FALSE)</f>
        <v>5.8314626421251958E-5</v>
      </c>
      <c r="J180" s="9">
        <f t="shared" si="6"/>
        <v>-9.4270196003364226E-2</v>
      </c>
      <c r="K180" s="12">
        <f t="shared" si="7"/>
        <v>-8.3920460448927148E-3</v>
      </c>
    </row>
    <row r="181" spans="1:11" x14ac:dyDescent="0.15">
      <c r="A181" s="2" t="s">
        <v>43</v>
      </c>
      <c r="B181" s="2" t="s">
        <v>82</v>
      </c>
      <c r="C181" s="2" t="s">
        <v>83</v>
      </c>
      <c r="D181" s="2">
        <v>11.80875</v>
      </c>
      <c r="E181" s="2">
        <v>98.94</v>
      </c>
      <c r="F181" s="2">
        <v>88.17</v>
      </c>
      <c r="G181">
        <f t="shared" si="8"/>
        <v>-5.4742604484682182E-3</v>
      </c>
      <c r="H181" s="9">
        <f>VLOOKUP(A181,Table2[],3, FALSE)</f>
        <v>4.3612874972629799E-2</v>
      </c>
      <c r="I181" s="9">
        <f>VLOOKUP(A181,Table3[],3, FALSE)</f>
        <v>3.3327223783574667E-5</v>
      </c>
      <c r="J181" s="9">
        <f t="shared" si="6"/>
        <v>-5.5075876722517928E-3</v>
      </c>
      <c r="K181" s="12">
        <f t="shared" si="7"/>
        <v>4.3579547748846224E-2</v>
      </c>
    </row>
    <row r="182" spans="1:11" x14ac:dyDescent="0.15">
      <c r="A182" s="2" t="s">
        <v>44</v>
      </c>
      <c r="B182" s="2" t="s">
        <v>82</v>
      </c>
      <c r="C182" s="2" t="s">
        <v>83</v>
      </c>
      <c r="D182" s="2">
        <v>11.81</v>
      </c>
      <c r="E182" s="2">
        <v>103.73</v>
      </c>
      <c r="F182" s="2">
        <v>88.05</v>
      </c>
      <c r="G182">
        <f t="shared" si="8"/>
        <v>1.058537101725957E-4</v>
      </c>
      <c r="H182" s="9">
        <f>VLOOKUP(A182,Table2[],3, FALSE)</f>
        <v>-5.2585089106999758E-2</v>
      </c>
      <c r="I182" s="9">
        <f>VLOOKUP(A182,Table3[],3, FALSE)</f>
        <v>4.1657121104599071E-5</v>
      </c>
      <c r="J182" s="9">
        <f t="shared" si="6"/>
        <v>6.4196589067996632E-5</v>
      </c>
      <c r="K182" s="12">
        <f t="shared" si="7"/>
        <v>-5.2626746228104357E-2</v>
      </c>
    </row>
    <row r="183" spans="1:11" x14ac:dyDescent="0.15">
      <c r="A183" s="2" t="s">
        <v>45</v>
      </c>
      <c r="B183" s="2" t="s">
        <v>82</v>
      </c>
      <c r="C183" s="2" t="s">
        <v>83</v>
      </c>
      <c r="D183" s="2">
        <v>11.938750000000001</v>
      </c>
      <c r="E183" s="2">
        <v>101.91</v>
      </c>
      <c r="F183" s="2">
        <v>87.7</v>
      </c>
      <c r="G183">
        <f t="shared" si="8"/>
        <v>1.09017781541067E-2</v>
      </c>
      <c r="H183" s="9">
        <f>VLOOKUP(A183,Table2[],3, FALSE)</f>
        <v>-3.136052086678269E-2</v>
      </c>
      <c r="I183" s="9">
        <f>VLOOKUP(A183,Table3[],3, FALSE)</f>
        <v>3.3327223783574667E-5</v>
      </c>
      <c r="J183" s="9">
        <f t="shared" si="6"/>
        <v>1.0868450930323126E-2</v>
      </c>
      <c r="K183" s="12">
        <f t="shared" si="7"/>
        <v>-3.1393848090566265E-2</v>
      </c>
    </row>
    <row r="184" spans="1:11" x14ac:dyDescent="0.15">
      <c r="A184" s="2" t="s">
        <v>46</v>
      </c>
      <c r="B184" s="2" t="s">
        <v>82</v>
      </c>
      <c r="C184" s="2" t="s">
        <v>83</v>
      </c>
      <c r="D184" s="2">
        <v>11.4375</v>
      </c>
      <c r="E184" s="2">
        <v>96.23</v>
      </c>
      <c r="F184" s="2">
        <v>85.29</v>
      </c>
      <c r="G184">
        <f t="shared" si="8"/>
        <v>-4.1985132446864255E-2</v>
      </c>
      <c r="H184" s="9">
        <f>VLOOKUP(A184,Table2[],3, FALSE)</f>
        <v>3.5773238773279988E-2</v>
      </c>
      <c r="I184" s="9">
        <f>VLOOKUP(A184,Table3[],3, FALSE)</f>
        <v>1.4987639212593606E-4</v>
      </c>
      <c r="J184" s="9">
        <f t="shared" si="6"/>
        <v>-4.2135008838990191E-2</v>
      </c>
      <c r="K184" s="12">
        <f t="shared" si="7"/>
        <v>3.5623362381154051E-2</v>
      </c>
    </row>
    <row r="185" spans="1:11" x14ac:dyDescent="0.15">
      <c r="A185" s="2" t="s">
        <v>47</v>
      </c>
      <c r="B185" s="2" t="s">
        <v>82</v>
      </c>
      <c r="C185" s="2" t="s">
        <v>83</v>
      </c>
      <c r="D185" s="2">
        <v>9.3187499999999996</v>
      </c>
      <c r="E185" s="2">
        <v>93.78</v>
      </c>
      <c r="F185" s="2">
        <v>74.349999999999994</v>
      </c>
      <c r="G185">
        <f t="shared" si="8"/>
        <v>-0.18524590163934429</v>
      </c>
      <c r="H185" s="9">
        <f>VLOOKUP(A185,Table2[],3, FALSE)</f>
        <v>-8.7956719149039395E-2</v>
      </c>
      <c r="I185" s="9">
        <f>VLOOKUP(A185,Table3[],3, FALSE)</f>
        <v>2.5796701004310307E-4</v>
      </c>
      <c r="J185" s="9">
        <f t="shared" si="6"/>
        <v>-0.18550386864938739</v>
      </c>
      <c r="K185" s="12">
        <f t="shared" si="7"/>
        <v>-8.8214686159082498E-2</v>
      </c>
    </row>
    <row r="186" spans="1:11" x14ac:dyDescent="0.15">
      <c r="A186" s="2" t="s">
        <v>48</v>
      </c>
      <c r="B186" s="2" t="s">
        <v>82</v>
      </c>
      <c r="C186" s="2" t="s">
        <v>83</v>
      </c>
      <c r="D186" s="2">
        <v>9.7862500000000008</v>
      </c>
      <c r="E186" s="2">
        <v>80.765000000000001</v>
      </c>
      <c r="F186" s="2">
        <v>71.14</v>
      </c>
      <c r="G186">
        <f t="shared" si="8"/>
        <v>5.0167672702884095E-2</v>
      </c>
      <c r="H186" s="9">
        <f>VLOOKUP(A186,Table2[],3, FALSE)</f>
        <v>5.3243883608711947E-5</v>
      </c>
      <c r="I186" s="9">
        <f>VLOOKUP(A186,Table3[],3, FALSE)</f>
        <v>4.8205321330185846E-4</v>
      </c>
      <c r="J186" s="9">
        <f t="shared" si="6"/>
        <v>4.9685619489582236E-2</v>
      </c>
      <c r="K186" s="12">
        <f t="shared" si="7"/>
        <v>-4.2880932969314653E-4</v>
      </c>
    </row>
    <row r="187" spans="1:11" x14ac:dyDescent="0.15">
      <c r="A187" s="2" t="s">
        <v>49</v>
      </c>
      <c r="B187" s="2" t="s">
        <v>82</v>
      </c>
      <c r="C187" s="2" t="s">
        <v>83</v>
      </c>
      <c r="D187" s="2">
        <v>7.9587500000000002</v>
      </c>
      <c r="E187" s="2">
        <v>79.44</v>
      </c>
      <c r="F187" s="2">
        <v>61.76</v>
      </c>
      <c r="G187">
        <f t="shared" si="8"/>
        <v>-0.18674160173713122</v>
      </c>
      <c r="H187" s="9">
        <f>VLOOKUP(A187,Table2[],3, FALSE)</f>
        <v>-8.391999322386641E-2</v>
      </c>
      <c r="I187" s="9">
        <f>VLOOKUP(A187,Table3[],3, FALSE)</f>
        <v>8.7907064595027506E-4</v>
      </c>
      <c r="J187" s="9">
        <f t="shared" si="6"/>
        <v>-0.1876206723830815</v>
      </c>
      <c r="K187" s="12">
        <f t="shared" si="7"/>
        <v>-8.4799063869816685E-2</v>
      </c>
    </row>
    <row r="188" spans="1:11" x14ac:dyDescent="0.15">
      <c r="A188" s="2" t="s">
        <v>50</v>
      </c>
      <c r="B188" s="2" t="s">
        <v>82</v>
      </c>
      <c r="C188" s="2" t="s">
        <v>83</v>
      </c>
      <c r="D188" s="2">
        <v>9.2387499999999996</v>
      </c>
      <c r="E188" s="2">
        <v>74.900000000000006</v>
      </c>
      <c r="F188" s="2">
        <v>59.93</v>
      </c>
      <c r="G188">
        <f t="shared" si="8"/>
        <v>0.16082927595413843</v>
      </c>
      <c r="H188" s="9">
        <f>VLOOKUP(A188,Table2[],3, FALSE)</f>
        <v>9.1116347632205968E-2</v>
      </c>
      <c r="I188" s="9">
        <f>VLOOKUP(A188,Table3[],3, FALSE)</f>
        <v>1.5287470679612447E-3</v>
      </c>
      <c r="J188" s="9">
        <f t="shared" si="6"/>
        <v>0.15930052888617718</v>
      </c>
      <c r="K188" s="12">
        <f t="shared" si="7"/>
        <v>8.9587600564244724E-2</v>
      </c>
    </row>
    <row r="189" spans="1:11" x14ac:dyDescent="0.15">
      <c r="A189" s="2" t="s">
        <v>51</v>
      </c>
      <c r="B189" s="2" t="s">
        <v>82</v>
      </c>
      <c r="C189" s="2" t="s">
        <v>83</v>
      </c>
      <c r="D189" s="2">
        <v>9.18</v>
      </c>
      <c r="E189" s="2">
        <v>81.295000000000002</v>
      </c>
      <c r="F189" s="2">
        <v>72.69</v>
      </c>
      <c r="G189">
        <f t="shared" si="8"/>
        <v>-6.3590853741036244E-3</v>
      </c>
      <c r="H189" s="9">
        <f>VLOOKUP(A189,Table2[],3, FALSE)</f>
        <v>-4.2440119216810436E-2</v>
      </c>
      <c r="I189" s="9">
        <f>VLOOKUP(A189,Table3[],3, FALSE)</f>
        <v>1.8804294971668245E-3</v>
      </c>
      <c r="J189" s="9">
        <f t="shared" si="6"/>
        <v>-8.239514871270448E-3</v>
      </c>
      <c r="K189" s="12">
        <f t="shared" si="7"/>
        <v>-4.4320548713977261E-2</v>
      </c>
    </row>
    <row r="190" spans="1:11" x14ac:dyDescent="0.15">
      <c r="A190" s="2" t="s">
        <v>52</v>
      </c>
      <c r="B190" s="2" t="s">
        <v>82</v>
      </c>
      <c r="C190" s="2" t="s">
        <v>83</v>
      </c>
      <c r="D190" s="2">
        <v>7.7387499999999996</v>
      </c>
      <c r="E190" s="2">
        <v>76.486699999999999</v>
      </c>
      <c r="F190" s="2">
        <v>61.88</v>
      </c>
      <c r="G190">
        <f t="shared" si="8"/>
        <v>-0.15699891067538127</v>
      </c>
      <c r="H190" s="9">
        <f>VLOOKUP(A190,Table2[],3, FALSE)</f>
        <v>-9.3395701643489287E-2</v>
      </c>
      <c r="I190" s="9">
        <f>VLOOKUP(A190,Table3[],3, FALSE)</f>
        <v>2.1494073283745418E-3</v>
      </c>
      <c r="J190" s="9">
        <f t="shared" si="6"/>
        <v>-0.15914831800375581</v>
      </c>
      <c r="K190" s="12">
        <f t="shared" si="7"/>
        <v>-9.5545108971863829E-2</v>
      </c>
    </row>
    <row r="191" spans="1:11" x14ac:dyDescent="0.15">
      <c r="A191" s="2" t="s">
        <v>53</v>
      </c>
      <c r="B191" s="2" t="s">
        <v>82</v>
      </c>
      <c r="C191" s="2" t="s">
        <v>83</v>
      </c>
      <c r="D191" s="2">
        <v>9.7262500000000003</v>
      </c>
      <c r="E191" s="2">
        <v>78.86</v>
      </c>
      <c r="F191" s="2">
        <v>62.145000000000003</v>
      </c>
      <c r="G191">
        <f t="shared" si="8"/>
        <v>0.25682442254886134</v>
      </c>
      <c r="H191" s="9">
        <f>VLOOKUP(A191,Table2[],3, FALSE)</f>
        <v>7.9863454576893297E-2</v>
      </c>
      <c r="I191" s="9">
        <f>VLOOKUP(A191,Table3[],3, FALSE)</f>
        <v>2.7254391280759904E-3</v>
      </c>
      <c r="J191" s="9">
        <f t="shared" si="6"/>
        <v>0.25409898342078535</v>
      </c>
      <c r="K191" s="12">
        <f t="shared" si="7"/>
        <v>7.7138015448817307E-2</v>
      </c>
    </row>
    <row r="192" spans="1:11" x14ac:dyDescent="0.15">
      <c r="A192" s="2" t="s">
        <v>54</v>
      </c>
      <c r="B192" s="2" t="s">
        <v>82</v>
      </c>
      <c r="C192" s="2" t="s">
        <v>83</v>
      </c>
      <c r="D192" s="2">
        <v>10.74625</v>
      </c>
      <c r="E192" s="2">
        <v>88.38</v>
      </c>
      <c r="F192" s="2">
        <v>76.569999999999993</v>
      </c>
      <c r="G192">
        <f t="shared" si="8"/>
        <v>0.10487083922375011</v>
      </c>
      <c r="H192" s="9">
        <f>VLOOKUP(A192,Table2[],3, FALSE)</f>
        <v>5.375286029369989E-2</v>
      </c>
      <c r="I192" s="9">
        <f>VLOOKUP(A192,Table3[],3, FALSE)</f>
        <v>3.1691721789193217E-3</v>
      </c>
      <c r="J192" s="9">
        <f t="shared" si="6"/>
        <v>0.10170166704483079</v>
      </c>
      <c r="K192" s="12">
        <f t="shared" si="7"/>
        <v>5.0583688114780569E-2</v>
      </c>
    </row>
    <row r="193" spans="1:11" x14ac:dyDescent="0.15">
      <c r="A193" s="2" t="s">
        <v>55</v>
      </c>
      <c r="B193" s="2" t="s">
        <v>82</v>
      </c>
      <c r="C193" s="2" t="s">
        <v>83</v>
      </c>
      <c r="D193" s="2">
        <v>10.473750000000001</v>
      </c>
      <c r="E193" s="2">
        <v>87.1</v>
      </c>
      <c r="F193" s="2">
        <v>76.694999999999993</v>
      </c>
      <c r="G193">
        <f t="shared" si="8"/>
        <v>-2.5357682912643859E-2</v>
      </c>
      <c r="H193" s="9">
        <f>VLOOKUP(A193,Table2[],3, FALSE)</f>
        <v>-5.897144929916108E-2</v>
      </c>
      <c r="I193" s="9">
        <f>VLOOKUP(A193,Table3[],3, FALSE)</f>
        <v>3.1933138078821255E-3</v>
      </c>
      <c r="J193" s="9">
        <f t="shared" si="6"/>
        <v>-2.8550996720525985E-2</v>
      </c>
      <c r="K193" s="12">
        <f t="shared" si="7"/>
        <v>-6.2164763107043206E-2</v>
      </c>
    </row>
    <row r="194" spans="1:11" x14ac:dyDescent="0.15">
      <c r="A194" s="2" t="s">
        <v>56</v>
      </c>
      <c r="B194" s="2" t="s">
        <v>82</v>
      </c>
      <c r="C194" s="2" t="s">
        <v>83</v>
      </c>
      <c r="D194" s="2">
        <v>10.06</v>
      </c>
      <c r="E194" s="2">
        <v>85.09</v>
      </c>
      <c r="F194" s="2">
        <v>66.75</v>
      </c>
      <c r="G194">
        <f t="shared" si="8"/>
        <v>-3.9503520706528253E-2</v>
      </c>
      <c r="H194" s="9">
        <f>VLOOKUP(A194,Table2[],3, FALSE)</f>
        <v>6.1752832400052068E-2</v>
      </c>
      <c r="I194" s="9">
        <f>VLOOKUP(A194,Table3[],3, FALSE)</f>
        <v>3.690815569153072E-3</v>
      </c>
      <c r="J194" s="9">
        <f t="shared" ref="J194:J257" si="9">G194-I194</f>
        <v>-4.3194336275681325E-2</v>
      </c>
      <c r="K194" s="12">
        <f t="shared" ref="K194:K217" si="10">H194-I194</f>
        <v>5.8062016830898996E-2</v>
      </c>
    </row>
    <row r="195" spans="1:11" x14ac:dyDescent="0.15">
      <c r="A195" s="2" t="s">
        <v>57</v>
      </c>
      <c r="B195" s="2" t="s">
        <v>82</v>
      </c>
      <c r="C195" s="2" t="s">
        <v>83</v>
      </c>
      <c r="D195" s="2">
        <v>10.588749999999999</v>
      </c>
      <c r="E195" s="2">
        <v>85.65</v>
      </c>
      <c r="F195" s="2">
        <v>80.010000000000005</v>
      </c>
      <c r="G195">
        <f t="shared" si="8"/>
        <v>5.2559642147117169E-2</v>
      </c>
      <c r="H195" s="9">
        <f>VLOOKUP(A195,Table2[],3, FALSE)</f>
        <v>-2.6112446646715356E-2</v>
      </c>
      <c r="I195" s="9">
        <f>VLOOKUP(A195,Table3[],3, FALSE)</f>
        <v>3.7867936638156241E-3</v>
      </c>
      <c r="J195" s="9">
        <f t="shared" si="9"/>
        <v>4.8772848483301545E-2</v>
      </c>
      <c r="K195" s="12">
        <f t="shared" si="10"/>
        <v>-2.989924031053098E-2</v>
      </c>
    </row>
    <row r="196" spans="1:11" x14ac:dyDescent="0.15">
      <c r="A196" s="2" t="s">
        <v>58</v>
      </c>
      <c r="B196" s="2" t="s">
        <v>82</v>
      </c>
      <c r="C196" s="2" t="s">
        <v>83</v>
      </c>
      <c r="D196" s="2">
        <v>11.95</v>
      </c>
      <c r="E196" s="2">
        <v>95.67</v>
      </c>
      <c r="F196" s="2">
        <v>83.377700000000004</v>
      </c>
      <c r="G196">
        <f t="shared" ref="G196:G217" si="11">(D196-D195)/D195</f>
        <v>0.12855625073781138</v>
      </c>
      <c r="H196" s="9">
        <f>VLOOKUP(A196,Table2[],3, FALSE)</f>
        <v>3.5051572358727079E-2</v>
      </c>
      <c r="I196" s="9">
        <f>VLOOKUP(A196,Table3[],3, FALSE)</f>
        <v>3.6668052630131065E-3</v>
      </c>
      <c r="J196" s="9">
        <f t="shared" si="9"/>
        <v>0.12488944547479827</v>
      </c>
      <c r="K196" s="12">
        <f t="shared" si="10"/>
        <v>3.1384767095713972E-2</v>
      </c>
    </row>
    <row r="197" spans="1:11" x14ac:dyDescent="0.15">
      <c r="A197" s="2" t="s">
        <v>59</v>
      </c>
      <c r="B197" s="2" t="s">
        <v>82</v>
      </c>
      <c r="C197" s="2" t="s">
        <v>83</v>
      </c>
      <c r="D197" s="2">
        <v>12.37125</v>
      </c>
      <c r="E197" s="2">
        <v>102.01</v>
      </c>
      <c r="F197" s="2">
        <v>93.47</v>
      </c>
      <c r="G197">
        <f t="shared" si="11"/>
        <v>3.5251046025104656E-2</v>
      </c>
      <c r="H197" s="9">
        <f>VLOOKUP(A197,Table2[],3, FALSE)</f>
        <v>1.4642360882970416E-2</v>
      </c>
      <c r="I197" s="9">
        <f>VLOOKUP(A197,Table3[],3, FALSE)</f>
        <v>3.4103013914235092E-3</v>
      </c>
      <c r="J197" s="9">
        <f t="shared" si="9"/>
        <v>3.1840744633681146E-2</v>
      </c>
      <c r="K197" s="12">
        <f t="shared" si="10"/>
        <v>1.1232059491546906E-2</v>
      </c>
    </row>
    <row r="198" spans="1:11" x14ac:dyDescent="0.15">
      <c r="A198" s="2" t="s">
        <v>60</v>
      </c>
      <c r="B198" s="2" t="s">
        <v>82</v>
      </c>
      <c r="C198" s="2" t="s">
        <v>83</v>
      </c>
      <c r="D198" s="2">
        <v>12.69125</v>
      </c>
      <c r="E198" s="2">
        <v>105.94</v>
      </c>
      <c r="F198" s="2">
        <v>97.41</v>
      </c>
      <c r="G198">
        <f t="shared" si="11"/>
        <v>2.5866424168940107E-2</v>
      </c>
      <c r="H198" s="9">
        <f>VLOOKUP(A198,Table2[],3, FALSE)</f>
        <v>2.4823239348792572E-3</v>
      </c>
      <c r="I198" s="9">
        <f>VLOOKUP(A198,Table3[],3, FALSE)</f>
        <v>4.463764356697375E-3</v>
      </c>
      <c r="J198" s="9">
        <f t="shared" si="9"/>
        <v>2.1402659812242732E-2</v>
      </c>
      <c r="K198" s="12">
        <f t="shared" si="10"/>
        <v>-1.9814404218181179E-3</v>
      </c>
    </row>
    <row r="199" spans="1:11" x14ac:dyDescent="0.15">
      <c r="A199" s="2" t="s">
        <v>61</v>
      </c>
      <c r="B199" s="2" t="s">
        <v>82</v>
      </c>
      <c r="C199" s="2" t="s">
        <v>83</v>
      </c>
      <c r="D199" s="2">
        <v>13.731249999999999</v>
      </c>
      <c r="E199" s="2">
        <v>110.26</v>
      </c>
      <c r="F199" s="2">
        <v>101.07</v>
      </c>
      <c r="G199">
        <f t="shared" si="11"/>
        <v>8.1946222791293141E-2</v>
      </c>
      <c r="H199" s="9">
        <f>VLOOKUP(A199,Table2[],3, FALSE)</f>
        <v>6.4727512841431398E-2</v>
      </c>
      <c r="I199" s="9">
        <f>VLOOKUP(A199,Table3[],3, FALSE)</f>
        <v>4.2333616592649115E-3</v>
      </c>
      <c r="J199" s="9">
        <f t="shared" si="9"/>
        <v>7.771286113202823E-2</v>
      </c>
      <c r="K199" s="12">
        <f t="shared" si="10"/>
        <v>6.0494151182166486E-2</v>
      </c>
    </row>
    <row r="200" spans="1:11" x14ac:dyDescent="0.15">
      <c r="A200" s="2" t="s">
        <v>62</v>
      </c>
      <c r="B200" s="2" t="s">
        <v>82</v>
      </c>
      <c r="C200" s="2" t="s">
        <v>83</v>
      </c>
      <c r="D200" s="2">
        <v>14.28</v>
      </c>
      <c r="E200" s="2">
        <v>117.96</v>
      </c>
      <c r="F200" s="2">
        <v>106.86</v>
      </c>
      <c r="G200">
        <f t="shared" si="11"/>
        <v>3.9963586709148846E-2</v>
      </c>
      <c r="H200" s="9">
        <f>VLOOKUP(A200,Table2[],3, FALSE)</f>
        <v>3.1138913980379185E-2</v>
      </c>
      <c r="I200" s="9">
        <f>VLOOKUP(A200,Table3[],3, FALSE)</f>
        <v>4.3843808093919634E-3</v>
      </c>
      <c r="J200" s="9">
        <f t="shared" si="9"/>
        <v>3.5579205899756883E-2</v>
      </c>
      <c r="K200" s="12">
        <f t="shared" si="10"/>
        <v>2.6754533170987221E-2</v>
      </c>
    </row>
    <row r="201" spans="1:11" x14ac:dyDescent="0.15">
      <c r="A201" s="2" t="s">
        <v>63</v>
      </c>
      <c r="B201" s="2" t="s">
        <v>82</v>
      </c>
      <c r="C201" s="2" t="s">
        <v>83</v>
      </c>
      <c r="D201" s="2">
        <v>14.307499999999999</v>
      </c>
      <c r="E201" s="2">
        <v>115.84610000000001</v>
      </c>
      <c r="F201" s="2">
        <v>110.02</v>
      </c>
      <c r="G201">
        <f t="shared" si="11"/>
        <v>1.9257703081232394E-3</v>
      </c>
      <c r="H201" s="9">
        <f>VLOOKUP(A201,Table2[],3, FALSE)</f>
        <v>-1.7716432481433741E-2</v>
      </c>
      <c r="I201" s="9">
        <f>VLOOKUP(A201,Table3[],3, FALSE)</f>
        <v>4.5034302658089054E-3</v>
      </c>
      <c r="J201" s="9">
        <f t="shared" si="9"/>
        <v>-2.577659957685666E-3</v>
      </c>
      <c r="K201" s="12">
        <f t="shared" si="10"/>
        <v>-2.2219862747242646E-2</v>
      </c>
    </row>
    <row r="202" spans="1:11" x14ac:dyDescent="0.15">
      <c r="A202" s="2" t="s">
        <v>64</v>
      </c>
      <c r="B202" s="2" t="s">
        <v>82</v>
      </c>
      <c r="C202" s="2" t="s">
        <v>83</v>
      </c>
      <c r="D202" s="2">
        <v>13.81875</v>
      </c>
      <c r="E202" s="2">
        <v>117.67</v>
      </c>
      <c r="F202" s="2">
        <v>109.75</v>
      </c>
      <c r="G202">
        <f t="shared" si="11"/>
        <v>-3.4160405381792741E-2</v>
      </c>
      <c r="H202" s="9">
        <f>VLOOKUP(A202,Table2[],3, FALSE)</f>
        <v>-4.8719291162155016E-2</v>
      </c>
      <c r="I202" s="9">
        <f>VLOOKUP(A202,Table3[],3, FALSE)</f>
        <v>4.4954984622596061E-3</v>
      </c>
      <c r="J202" s="9">
        <f t="shared" si="9"/>
        <v>-3.8655903844052347E-2</v>
      </c>
      <c r="K202" s="12">
        <f t="shared" si="10"/>
        <v>-5.3214789624414623E-2</v>
      </c>
    </row>
    <row r="203" spans="1:11" x14ac:dyDescent="0.15">
      <c r="A203" s="2" t="s">
        <v>65</v>
      </c>
      <c r="B203" s="2" t="s">
        <v>82</v>
      </c>
      <c r="C203" s="2" t="s">
        <v>83</v>
      </c>
      <c r="D203" s="2">
        <v>13.578749999999999</v>
      </c>
      <c r="E203" s="2">
        <v>114.89</v>
      </c>
      <c r="F203" s="2">
        <v>105.53</v>
      </c>
      <c r="G203">
        <f t="shared" si="11"/>
        <v>-1.7367706919945741E-2</v>
      </c>
      <c r="H203" s="9">
        <f>VLOOKUP(A203,Table2[],3, FALSE)</f>
        <v>-2.1979687736850082E-2</v>
      </c>
      <c r="I203" s="9">
        <f>VLOOKUP(A203,Table3[],3, FALSE)</f>
        <v>4.5272215436409358E-3</v>
      </c>
      <c r="J203" s="9">
        <f t="shared" si="9"/>
        <v>-2.1894928463586677E-2</v>
      </c>
      <c r="K203" s="12">
        <f t="shared" si="10"/>
        <v>-2.6506909280491018E-2</v>
      </c>
    </row>
    <row r="204" spans="1:11" x14ac:dyDescent="0.15">
      <c r="A204" s="2" t="s">
        <v>66</v>
      </c>
      <c r="B204" s="2" t="s">
        <v>82</v>
      </c>
      <c r="C204" s="2" t="s">
        <v>83</v>
      </c>
      <c r="D204" s="2">
        <v>15.225</v>
      </c>
      <c r="E204" s="2">
        <v>121.84</v>
      </c>
      <c r="F204" s="2">
        <v>105.83</v>
      </c>
      <c r="G204">
        <f t="shared" si="11"/>
        <v>0.12123722728528033</v>
      </c>
      <c r="H204" s="9">
        <f>VLOOKUP(A204,Table2[],3, FALSE)</f>
        <v>8.9179264628737653E-2</v>
      </c>
      <c r="I204" s="9">
        <f>VLOOKUP(A204,Table3[],3, FALSE)</f>
        <v>4.4954984622596061E-3</v>
      </c>
      <c r="J204" s="9">
        <f t="shared" si="9"/>
        <v>0.11674172882302072</v>
      </c>
      <c r="K204" s="12">
        <f t="shared" si="10"/>
        <v>8.4683766166478047E-2</v>
      </c>
    </row>
    <row r="205" spans="1:11" x14ac:dyDescent="0.15">
      <c r="A205" s="2" t="s">
        <v>67</v>
      </c>
      <c r="B205" s="2" t="s">
        <v>82</v>
      </c>
      <c r="C205" s="2" t="s">
        <v>83</v>
      </c>
      <c r="D205" s="2">
        <v>15.953749999999999</v>
      </c>
      <c r="E205" s="2">
        <v>129.19999999999999</v>
      </c>
      <c r="F205" s="2">
        <v>118.17</v>
      </c>
      <c r="G205">
        <f t="shared" si="11"/>
        <v>4.7865353037766817E-2</v>
      </c>
      <c r="H205" s="9">
        <f>VLOOKUP(A205,Table2[],3, FALSE)</f>
        <v>4.4229169403213746E-2</v>
      </c>
      <c r="I205" s="9">
        <f>VLOOKUP(A205,Table3[],3, FALSE)</f>
        <v>4.5034302658089054E-3</v>
      </c>
      <c r="J205" s="9">
        <f t="shared" si="9"/>
        <v>4.3361922771957911E-2</v>
      </c>
      <c r="K205" s="12">
        <f t="shared" si="10"/>
        <v>3.972573913740484E-2</v>
      </c>
    </row>
    <row r="206" spans="1:11" x14ac:dyDescent="0.15">
      <c r="A206" s="2" t="s">
        <v>68</v>
      </c>
      <c r="B206" s="2" t="s">
        <v>82</v>
      </c>
      <c r="C206" s="2" t="s">
        <v>83</v>
      </c>
      <c r="D206" s="2">
        <v>16.552499999999998</v>
      </c>
      <c r="E206" s="2">
        <v>134.47</v>
      </c>
      <c r="F206" s="2">
        <v>123.65</v>
      </c>
      <c r="G206">
        <f t="shared" si="11"/>
        <v>3.7530361200344683E-2</v>
      </c>
      <c r="H206" s="9">
        <f>VLOOKUP(A206,Table2[],3, FALSE)</f>
        <v>1.5895744712075631E-2</v>
      </c>
      <c r="I206" s="9">
        <f>VLOOKUP(A206,Table3[],3, FALSE)</f>
        <v>4.5034302658089054E-3</v>
      </c>
      <c r="J206" s="9">
        <f t="shared" si="9"/>
        <v>3.3026930934535778E-2</v>
      </c>
      <c r="K206" s="12">
        <f t="shared" si="10"/>
        <v>1.1392314446266726E-2</v>
      </c>
    </row>
    <row r="207" spans="1:11" x14ac:dyDescent="0.15">
      <c r="A207" s="2" t="s">
        <v>69</v>
      </c>
      <c r="B207" s="2" t="s">
        <v>82</v>
      </c>
      <c r="C207" s="2" t="s">
        <v>83</v>
      </c>
      <c r="D207" s="2">
        <v>19.611249999999998</v>
      </c>
      <c r="E207" s="2">
        <v>157.18</v>
      </c>
      <c r="F207" s="2">
        <v>132.47</v>
      </c>
      <c r="G207">
        <f t="shared" si="11"/>
        <v>0.18479081709711526</v>
      </c>
      <c r="H207" s="9">
        <f>VLOOKUP(A207,Table2[],3, FALSE)</f>
        <v>5.1720615397315289E-2</v>
      </c>
      <c r="I207" s="9">
        <f>VLOOKUP(A207,Table3[],3, FALSE)</f>
        <v>4.463764356697375E-3</v>
      </c>
      <c r="J207" s="9">
        <f t="shared" si="9"/>
        <v>0.18032705274041788</v>
      </c>
      <c r="K207" s="12">
        <f t="shared" si="10"/>
        <v>4.7256851040617914E-2</v>
      </c>
    </row>
    <row r="208" spans="1:11" x14ac:dyDescent="0.15">
      <c r="A208" s="2" t="s">
        <v>70</v>
      </c>
      <c r="B208" s="2" t="s">
        <v>82</v>
      </c>
      <c r="C208" s="2" t="s">
        <v>83</v>
      </c>
      <c r="D208" s="2">
        <v>21.94125</v>
      </c>
      <c r="E208" s="2">
        <v>180.36</v>
      </c>
      <c r="F208" s="2">
        <v>156.57929999999999</v>
      </c>
      <c r="G208">
        <f t="shared" si="11"/>
        <v>0.11880935687424321</v>
      </c>
      <c r="H208" s="9">
        <f>VLOOKUP(A208,Table2[],3, FALSE)</f>
        <v>3.1018764704381814E-2</v>
      </c>
      <c r="I208" s="9">
        <f>VLOOKUP(A208,Table3[],3, FALSE)</f>
        <v>4.4796327880016751E-3</v>
      </c>
      <c r="J208" s="9">
        <f t="shared" si="9"/>
        <v>0.11432972408624154</v>
      </c>
      <c r="K208" s="12">
        <f t="shared" si="10"/>
        <v>2.6539131916380139E-2</v>
      </c>
    </row>
    <row r="209" spans="1:11" x14ac:dyDescent="0.15">
      <c r="A209" s="2" t="s">
        <v>71</v>
      </c>
      <c r="B209" s="2" t="s">
        <v>82</v>
      </c>
      <c r="C209" s="2" t="s">
        <v>83</v>
      </c>
      <c r="D209" s="2">
        <v>20.227499999999999</v>
      </c>
      <c r="E209" s="2">
        <v>176.03210000000001</v>
      </c>
      <c r="F209" s="2">
        <v>133.99</v>
      </c>
      <c r="G209">
        <f t="shared" si="11"/>
        <v>-7.8106306614254023E-2</v>
      </c>
      <c r="H209" s="9">
        <f>VLOOKUP(A209,Table2[],3, FALSE)</f>
        <v>-4.1615042774082567E-2</v>
      </c>
      <c r="I209" s="9">
        <f>VLOOKUP(A209,Table3[],3, FALSE)</f>
        <v>4.455829106839726E-3</v>
      </c>
      <c r="J209" s="9">
        <f t="shared" si="9"/>
        <v>-8.2562135721093749E-2</v>
      </c>
      <c r="K209" s="12">
        <f t="shared" si="10"/>
        <v>-4.6070871880922293E-2</v>
      </c>
    </row>
    <row r="210" spans="1:11" x14ac:dyDescent="0.15">
      <c r="A210" s="2" t="s">
        <v>72</v>
      </c>
      <c r="B210" s="2" t="s">
        <v>82</v>
      </c>
      <c r="C210" s="2" t="s">
        <v>83</v>
      </c>
      <c r="D210" s="2">
        <v>20.642499999999998</v>
      </c>
      <c r="E210" s="2">
        <v>170.8</v>
      </c>
      <c r="F210" s="2">
        <v>157.36000000000001</v>
      </c>
      <c r="G210">
        <f t="shared" si="11"/>
        <v>2.0516623408725704E-2</v>
      </c>
      <c r="H210" s="9">
        <f>VLOOKUP(A210,Table2[],3, FALSE)</f>
        <v>4.8021224499522536E-2</v>
      </c>
      <c r="I210" s="9">
        <f>VLOOKUP(A210,Table3[],3, FALSE)</f>
        <v>4.471698917043021E-3</v>
      </c>
      <c r="J210" s="9">
        <f t="shared" si="9"/>
        <v>1.6044924491682683E-2</v>
      </c>
      <c r="K210" s="12">
        <f t="shared" si="10"/>
        <v>4.3549525582479515E-2</v>
      </c>
    </row>
    <row r="211" spans="1:11" x14ac:dyDescent="0.15">
      <c r="A211" s="2" t="s">
        <v>73</v>
      </c>
      <c r="B211" s="2" t="s">
        <v>82</v>
      </c>
      <c r="C211" s="2" t="s">
        <v>83</v>
      </c>
      <c r="D211" s="2">
        <v>19.87125</v>
      </c>
      <c r="E211" s="2">
        <v>167.4999</v>
      </c>
      <c r="F211" s="2">
        <v>153.215</v>
      </c>
      <c r="G211">
        <f t="shared" si="11"/>
        <v>-3.7362238101005134E-2</v>
      </c>
      <c r="H211" s="9">
        <f>VLOOKUP(A211,Table2[],3, FALSE)</f>
        <v>3.4669759034089816E-2</v>
      </c>
      <c r="I211" s="9">
        <f>VLOOKUP(A211,Table3[],3, FALSE)</f>
        <v>4.439956538087042E-3</v>
      </c>
      <c r="J211" s="9">
        <f t="shared" si="9"/>
        <v>-4.1802194639092176E-2</v>
      </c>
      <c r="K211" s="12">
        <f t="shared" si="10"/>
        <v>3.0229802496002774E-2</v>
      </c>
    </row>
    <row r="212" spans="1:11" x14ac:dyDescent="0.15">
      <c r="A212" s="2" t="s">
        <v>74</v>
      </c>
      <c r="B212" s="2" t="s">
        <v>82</v>
      </c>
      <c r="C212" s="2" t="s">
        <v>83</v>
      </c>
      <c r="D212" s="2">
        <v>21.274999999999999</v>
      </c>
      <c r="E212" s="2">
        <v>177.2</v>
      </c>
      <c r="F212" s="2">
        <v>156.05000000000001</v>
      </c>
      <c r="G212">
        <f t="shared" si="11"/>
        <v>7.0642259545826189E-2</v>
      </c>
      <c r="H212" s="9">
        <f>VLOOKUP(A212,Table2[],3, FALSE)</f>
        <v>1.1321349038912444E-2</v>
      </c>
      <c r="I212" s="9">
        <f>VLOOKUP(A212,Table3[],3, FALSE)</f>
        <v>4.455829106839726E-3</v>
      </c>
      <c r="J212" s="9">
        <f t="shared" si="9"/>
        <v>6.6186430438986463E-2</v>
      </c>
      <c r="K212" s="12">
        <f t="shared" si="10"/>
        <v>6.8655199320727181E-3</v>
      </c>
    </row>
    <row r="213" spans="1:11" x14ac:dyDescent="0.15">
      <c r="A213" s="2" t="s">
        <v>75</v>
      </c>
      <c r="B213" s="2" t="s">
        <v>82</v>
      </c>
      <c r="C213" s="2" t="s">
        <v>83</v>
      </c>
      <c r="D213" s="2">
        <v>21.827500000000001</v>
      </c>
      <c r="E213" s="2">
        <v>175.97</v>
      </c>
      <c r="F213" s="2">
        <v>150.20009999999999</v>
      </c>
      <c r="G213">
        <f t="shared" si="11"/>
        <v>2.5969447708578237E-2</v>
      </c>
      <c r="H213" s="9">
        <f>VLOOKUP(A213,Table2[],3, FALSE)</f>
        <v>2.2834688445031861E-2</v>
      </c>
      <c r="I213" s="9">
        <f>VLOOKUP(A213,Table3[],3, FALSE)</f>
        <v>4.471698917043021E-3</v>
      </c>
      <c r="J213" s="9">
        <f t="shared" si="9"/>
        <v>2.1497748791535216E-2</v>
      </c>
      <c r="K213" s="12">
        <f t="shared" si="10"/>
        <v>1.836298952798884E-2</v>
      </c>
    </row>
    <row r="214" spans="1:11" x14ac:dyDescent="0.15">
      <c r="A214" s="2" t="s">
        <v>76</v>
      </c>
      <c r="B214" s="2" t="s">
        <v>82</v>
      </c>
      <c r="C214" s="2" t="s">
        <v>83</v>
      </c>
      <c r="D214" s="2">
        <v>23.572500000000002</v>
      </c>
      <c r="E214" s="2">
        <v>190.88</v>
      </c>
      <c r="F214" s="2">
        <v>160.59</v>
      </c>
      <c r="G214">
        <f t="shared" si="11"/>
        <v>7.9945023479555649E-2</v>
      </c>
      <c r="H214" s="9">
        <f>VLOOKUP(A214,Table2[],3, FALSE)</f>
        <v>2.0196869910063014E-2</v>
      </c>
      <c r="I214" s="9">
        <f>VLOOKUP(A214,Table3[],3, FALSE)</f>
        <v>4.1219243192651689E-3</v>
      </c>
      <c r="J214" s="9">
        <f t="shared" si="9"/>
        <v>7.582309916029048E-2</v>
      </c>
      <c r="K214" s="12">
        <f t="shared" si="10"/>
        <v>1.6074945590797845E-2</v>
      </c>
    </row>
    <row r="215" spans="1:11" x14ac:dyDescent="0.15">
      <c r="A215" s="2" t="s">
        <v>77</v>
      </c>
      <c r="B215" s="2" t="s">
        <v>82</v>
      </c>
      <c r="C215" s="2" t="s">
        <v>83</v>
      </c>
      <c r="D215" s="2">
        <v>21.4725</v>
      </c>
      <c r="E215" s="2">
        <v>194.8</v>
      </c>
      <c r="F215" s="2">
        <v>170.43</v>
      </c>
      <c r="G215">
        <f t="shared" si="11"/>
        <v>-8.9086859688196046E-2</v>
      </c>
      <c r="H215" s="9">
        <f>VLOOKUP(A215,Table2[],3, FALSE)</f>
        <v>-9.896780552817494E-3</v>
      </c>
      <c r="I215" s="9">
        <f>VLOOKUP(A215,Table3[],3, FALSE)</f>
        <v>4.0103507726252374E-3</v>
      </c>
      <c r="J215" s="9">
        <f t="shared" si="9"/>
        <v>-9.3097210460821284E-2</v>
      </c>
      <c r="K215" s="12">
        <f t="shared" si="10"/>
        <v>-1.3907131325442731E-2</v>
      </c>
    </row>
    <row r="216" spans="1:11" x14ac:dyDescent="0.15">
      <c r="A216" s="2" t="s">
        <v>78</v>
      </c>
      <c r="B216" s="2" t="s">
        <v>82</v>
      </c>
      <c r="C216" s="2" t="s">
        <v>83</v>
      </c>
      <c r="D216" s="2">
        <v>22.77</v>
      </c>
      <c r="E216" s="2">
        <v>187.47</v>
      </c>
      <c r="F216" s="2">
        <v>171.45</v>
      </c>
      <c r="G216">
        <f t="shared" si="11"/>
        <v>6.0426126440796341E-2</v>
      </c>
      <c r="H216" s="9">
        <f>VLOOKUP(A216,Table2[],3, FALSE)</f>
        <v>5.7301352215863834E-2</v>
      </c>
      <c r="I216" s="9">
        <f>VLOOKUP(A216,Table3[],3, FALSE)</f>
        <v>3.8427343023630378E-3</v>
      </c>
      <c r="J216" s="9">
        <f t="shared" si="9"/>
        <v>5.6583392138433303E-2</v>
      </c>
      <c r="K216" s="12">
        <f t="shared" si="10"/>
        <v>5.3458617913500796E-2</v>
      </c>
    </row>
    <row r="217" spans="1:11" x14ac:dyDescent="0.15">
      <c r="A217" s="2" t="s">
        <v>79</v>
      </c>
      <c r="B217" s="2" t="s">
        <v>82</v>
      </c>
      <c r="C217" s="2" t="s">
        <v>83</v>
      </c>
      <c r="D217" s="2">
        <v>20.848749999999999</v>
      </c>
      <c r="E217" s="2">
        <v>182.9</v>
      </c>
      <c r="F217" s="2">
        <v>159.6</v>
      </c>
      <c r="G217">
        <f t="shared" si="11"/>
        <v>-8.4376372419850701E-2</v>
      </c>
      <c r="H217" s="9">
        <f>VLOOKUP(A217,Table2[],3, FALSE)</f>
        <v>-2.4990136563014929E-2</v>
      </c>
      <c r="I217" s="9">
        <f>VLOOKUP(A217,Table3[],3, FALSE)</f>
        <v>3.6748094004368514E-3</v>
      </c>
      <c r="J217" s="9">
        <f t="shared" si="9"/>
        <v>-8.8051181820287552E-2</v>
      </c>
      <c r="K217" s="12">
        <f t="shared" si="10"/>
        <v>-2.8664945963451781E-2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CE0B-EFB6-5740-89A2-6ADB480CE282}">
  <dimension ref="A1:A19"/>
  <sheetViews>
    <sheetView workbookViewId="0">
      <selection sqref="A1:A19"/>
    </sheetView>
  </sheetViews>
  <sheetFormatPr baseColWidth="10" defaultRowHeight="13" x14ac:dyDescent="0.15"/>
  <sheetData>
    <row r="1" spans="1:1" x14ac:dyDescent="0.15">
      <c r="A1" s="2">
        <v>166.44</v>
      </c>
    </row>
    <row r="2" spans="1:1" x14ac:dyDescent="0.15">
      <c r="A2" s="2">
        <v>173.15</v>
      </c>
    </row>
    <row r="3" spans="1:1" x14ac:dyDescent="0.15">
      <c r="A3" s="2">
        <v>189.95</v>
      </c>
    </row>
    <row r="4" spans="1:1" x14ac:dyDescent="0.15">
      <c r="A4" s="2">
        <v>200.67</v>
      </c>
    </row>
    <row r="5" spans="1:1" x14ac:dyDescent="0.15">
      <c r="A5" s="2">
        <v>175.07</v>
      </c>
    </row>
    <row r="6" spans="1:1" x14ac:dyDescent="0.15">
      <c r="A6" s="2">
        <v>197.92</v>
      </c>
    </row>
    <row r="7" spans="1:1" x14ac:dyDescent="0.15">
      <c r="A7" s="2">
        <v>213.04</v>
      </c>
    </row>
    <row r="8" spans="1:1" x14ac:dyDescent="0.15">
      <c r="A8" s="2">
        <v>208.74</v>
      </c>
    </row>
    <row r="9" spans="1:1" x14ac:dyDescent="0.15">
      <c r="A9" s="2">
        <v>223.97</v>
      </c>
    </row>
    <row r="10" spans="1:1" x14ac:dyDescent="0.15">
      <c r="A10" s="2">
        <v>248.76</v>
      </c>
    </row>
    <row r="11" spans="1:1" x14ac:dyDescent="0.15">
      <c r="A11" s="2">
        <v>267.25</v>
      </c>
    </row>
    <row r="12" spans="1:1" x14ac:dyDescent="0.15">
      <c r="A12" s="2">
        <v>293.64999999999998</v>
      </c>
    </row>
    <row r="13" spans="1:1" x14ac:dyDescent="0.15">
      <c r="A13" s="2">
        <v>309.51</v>
      </c>
    </row>
    <row r="14" spans="1:1" x14ac:dyDescent="0.15">
      <c r="A14" s="2">
        <v>273.36</v>
      </c>
    </row>
    <row r="15" spans="1:1" x14ac:dyDescent="0.15">
      <c r="A15" s="2">
        <v>254.29</v>
      </c>
    </row>
    <row r="16" spans="1:1" x14ac:dyDescent="0.15">
      <c r="A16" s="2">
        <v>293.8</v>
      </c>
    </row>
    <row r="17" spans="1:1" x14ac:dyDescent="0.15">
      <c r="A17" s="2">
        <v>317.94</v>
      </c>
    </row>
    <row r="18" spans="1:1" x14ac:dyDescent="0.15">
      <c r="A18" s="2">
        <v>364.8</v>
      </c>
    </row>
    <row r="19" spans="1:1" x14ac:dyDescent="0.15">
      <c r="A19" s="2">
        <v>425.04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1A73-8E9B-614D-9E3B-29711578EE22}">
  <dimension ref="A1:D73"/>
  <sheetViews>
    <sheetView topLeftCell="A32" workbookViewId="0">
      <selection activeCell="C1" sqref="C1"/>
    </sheetView>
  </sheetViews>
  <sheetFormatPr baseColWidth="10" defaultColWidth="11.5" defaultRowHeight="13" x14ac:dyDescent="0.15"/>
  <cols>
    <col min="1" max="1" width="14" customWidth="1"/>
    <col min="2" max="2" width="27" customWidth="1"/>
    <col min="3" max="3" width="21.5" customWidth="1"/>
    <col min="4" max="4" width="16.83203125" customWidth="1"/>
  </cols>
  <sheetData>
    <row r="1" spans="1:4" ht="14" x14ac:dyDescent="0.15">
      <c r="A1" s="1" t="s">
        <v>0</v>
      </c>
      <c r="B1" s="5" t="s">
        <v>85</v>
      </c>
      <c r="C1" s="1" t="s">
        <v>88</v>
      </c>
      <c r="D1" s="6"/>
    </row>
    <row r="2" spans="1:4" x14ac:dyDescent="0.15">
      <c r="A2" s="2" t="s">
        <v>6</v>
      </c>
      <c r="B2">
        <v>2704.1</v>
      </c>
      <c r="C2" s="2"/>
    </row>
    <row r="3" spans="1:4" x14ac:dyDescent="0.15">
      <c r="A3" s="2" t="s">
        <v>9</v>
      </c>
      <c r="B3">
        <v>2784.49</v>
      </c>
      <c r="C3" s="2">
        <f>(B3-B2)/B2</f>
        <v>2.9728930143115964E-2</v>
      </c>
    </row>
    <row r="4" spans="1:4" x14ac:dyDescent="0.15">
      <c r="A4" s="2" t="s">
        <v>10</v>
      </c>
      <c r="B4">
        <v>2834.4</v>
      </c>
      <c r="C4" s="2">
        <f t="shared" ref="C4:C67" si="0">(B4-B3)/B3</f>
        <v>1.7924287751078408E-2</v>
      </c>
    </row>
    <row r="5" spans="1:4" x14ac:dyDescent="0.15">
      <c r="A5" s="2" t="s">
        <v>11</v>
      </c>
      <c r="B5">
        <v>2945.83</v>
      </c>
      <c r="C5" s="2">
        <f t="shared" si="0"/>
        <v>3.9313434942139368E-2</v>
      </c>
    </row>
    <row r="6" spans="1:4" x14ac:dyDescent="0.15">
      <c r="A6" s="2" t="s">
        <v>12</v>
      </c>
      <c r="B6">
        <v>2752.06</v>
      </c>
      <c r="C6" s="2">
        <f t="shared" si="0"/>
        <v>-6.5777726481161508E-2</v>
      </c>
    </row>
    <row r="7" spans="1:4" x14ac:dyDescent="0.15">
      <c r="A7" s="2" t="s">
        <v>13</v>
      </c>
      <c r="B7">
        <v>2941.76</v>
      </c>
      <c r="C7" s="2">
        <f t="shared" si="0"/>
        <v>6.8930183208215035E-2</v>
      </c>
    </row>
    <row r="8" spans="1:4" x14ac:dyDescent="0.15">
      <c r="A8" s="2" t="s">
        <v>14</v>
      </c>
      <c r="B8">
        <v>2980.38</v>
      </c>
      <c r="C8" s="2">
        <f t="shared" si="0"/>
        <v>1.312819536603934E-2</v>
      </c>
    </row>
    <row r="9" spans="1:4" x14ac:dyDescent="0.15">
      <c r="A9" s="2" t="s">
        <v>15</v>
      </c>
      <c r="B9">
        <v>2926.46</v>
      </c>
      <c r="C9" s="2">
        <f t="shared" si="0"/>
        <v>-1.8091652742267789E-2</v>
      </c>
    </row>
    <row r="10" spans="1:4" x14ac:dyDescent="0.15">
      <c r="A10" s="2" t="s">
        <v>16</v>
      </c>
      <c r="B10">
        <v>2976.74</v>
      </c>
      <c r="C10" s="2">
        <f t="shared" si="0"/>
        <v>1.7181167690656883E-2</v>
      </c>
    </row>
    <row r="11" spans="1:4" x14ac:dyDescent="0.15">
      <c r="A11" s="2" t="s">
        <v>17</v>
      </c>
      <c r="B11">
        <v>3037.56</v>
      </c>
      <c r="C11" s="2">
        <f t="shared" si="0"/>
        <v>2.0431747482144953E-2</v>
      </c>
    </row>
    <row r="12" spans="1:4" x14ac:dyDescent="0.15">
      <c r="A12" s="2" t="s">
        <v>18</v>
      </c>
      <c r="B12">
        <v>3140.98</v>
      </c>
      <c r="C12" s="2">
        <f t="shared" si="0"/>
        <v>3.4047064090915104E-2</v>
      </c>
    </row>
    <row r="13" spans="1:4" x14ac:dyDescent="0.15">
      <c r="A13" s="2" t="s">
        <v>19</v>
      </c>
      <c r="B13">
        <v>3230.78</v>
      </c>
      <c r="C13" s="2">
        <f t="shared" si="0"/>
        <v>2.8589803182446302E-2</v>
      </c>
    </row>
    <row r="14" spans="1:4" x14ac:dyDescent="0.15">
      <c r="A14" s="2" t="s">
        <v>20</v>
      </c>
      <c r="B14">
        <v>3225.52</v>
      </c>
      <c r="C14" s="2">
        <f t="shared" si="0"/>
        <v>-1.6280898111292685E-3</v>
      </c>
    </row>
    <row r="15" spans="1:4" x14ac:dyDescent="0.15">
      <c r="A15" s="2" t="s">
        <v>21</v>
      </c>
      <c r="B15">
        <v>2954.22</v>
      </c>
      <c r="C15" s="2">
        <f t="shared" si="0"/>
        <v>-8.4110469009648109E-2</v>
      </c>
    </row>
    <row r="16" spans="1:4" x14ac:dyDescent="0.15">
      <c r="A16" s="2" t="s">
        <v>22</v>
      </c>
      <c r="B16">
        <v>2584.59</v>
      </c>
      <c r="C16" s="2">
        <f t="shared" si="0"/>
        <v>-0.12511932083595659</v>
      </c>
    </row>
    <row r="17" spans="1:3" x14ac:dyDescent="0.15">
      <c r="A17" s="2" t="s">
        <v>23</v>
      </c>
      <c r="B17">
        <v>2912.43</v>
      </c>
      <c r="C17" s="2">
        <f t="shared" si="0"/>
        <v>0.12684410293315368</v>
      </c>
    </row>
    <row r="18" spans="1:3" x14ac:dyDescent="0.15">
      <c r="A18" s="2" t="s">
        <v>24</v>
      </c>
      <c r="B18">
        <v>3044.31</v>
      </c>
      <c r="C18" s="2">
        <f t="shared" si="0"/>
        <v>4.5281775012618368E-2</v>
      </c>
    </row>
    <row r="19" spans="1:3" x14ac:dyDescent="0.15">
      <c r="A19" s="2" t="s">
        <v>25</v>
      </c>
      <c r="B19">
        <v>3100.29</v>
      </c>
      <c r="C19" s="2">
        <f t="shared" si="0"/>
        <v>1.838840328350267E-2</v>
      </c>
    </row>
    <row r="20" spans="1:3" x14ac:dyDescent="0.15">
      <c r="A20" s="2" t="s">
        <v>26</v>
      </c>
      <c r="B20">
        <v>3271.12</v>
      </c>
      <c r="C20" s="2">
        <f t="shared" si="0"/>
        <v>5.5101296975444213E-2</v>
      </c>
    </row>
    <row r="21" spans="1:3" x14ac:dyDescent="0.15">
      <c r="A21" s="2" t="s">
        <v>27</v>
      </c>
      <c r="B21">
        <v>3500.31</v>
      </c>
      <c r="C21" s="2">
        <f t="shared" si="0"/>
        <v>7.0064687324219249E-2</v>
      </c>
    </row>
    <row r="22" spans="1:3" x14ac:dyDescent="0.15">
      <c r="A22" s="2" t="s">
        <v>28</v>
      </c>
      <c r="B22">
        <v>3363</v>
      </c>
      <c r="C22" s="2">
        <f t="shared" si="0"/>
        <v>-3.9227954095494386E-2</v>
      </c>
    </row>
    <row r="23" spans="1:3" x14ac:dyDescent="0.15">
      <c r="A23" s="2" t="s">
        <v>29</v>
      </c>
      <c r="B23">
        <v>3269.96</v>
      </c>
      <c r="C23" s="2">
        <f t="shared" si="0"/>
        <v>-2.766577460600653E-2</v>
      </c>
    </row>
    <row r="24" spans="1:3" x14ac:dyDescent="0.15">
      <c r="A24" s="2" t="s">
        <v>30</v>
      </c>
      <c r="B24">
        <v>3621.63</v>
      </c>
      <c r="C24" s="2">
        <f t="shared" si="0"/>
        <v>0.10754565805086302</v>
      </c>
    </row>
    <row r="25" spans="1:3" x14ac:dyDescent="0.15">
      <c r="A25" s="2" t="s">
        <v>31</v>
      </c>
      <c r="B25">
        <v>3756.07</v>
      </c>
      <c r="C25" s="2">
        <f t="shared" si="0"/>
        <v>3.7121406659432372E-2</v>
      </c>
    </row>
    <row r="26" spans="1:3" x14ac:dyDescent="0.15">
      <c r="A26" s="2" t="s">
        <v>32</v>
      </c>
      <c r="B26">
        <v>3714.24</v>
      </c>
      <c r="C26" s="2">
        <f t="shared" si="0"/>
        <v>-1.1136640158463601E-2</v>
      </c>
    </row>
    <row r="27" spans="1:3" x14ac:dyDescent="0.15">
      <c r="A27" s="2" t="s">
        <v>33</v>
      </c>
      <c r="B27">
        <v>3811.15</v>
      </c>
      <c r="C27" s="2">
        <f t="shared" si="0"/>
        <v>2.6091474971999741E-2</v>
      </c>
    </row>
    <row r="28" spans="1:3" x14ac:dyDescent="0.15">
      <c r="A28" s="2" t="s">
        <v>34</v>
      </c>
      <c r="B28">
        <v>3972.89</v>
      </c>
      <c r="C28" s="2">
        <f t="shared" si="0"/>
        <v>4.2438634008107733E-2</v>
      </c>
    </row>
    <row r="29" spans="1:3" x14ac:dyDescent="0.15">
      <c r="A29" s="2" t="s">
        <v>35</v>
      </c>
      <c r="B29">
        <v>4181.17</v>
      </c>
      <c r="C29" s="2">
        <f t="shared" si="0"/>
        <v>5.2425312555847307E-2</v>
      </c>
    </row>
    <row r="30" spans="1:3" x14ac:dyDescent="0.15">
      <c r="A30" s="2" t="s">
        <v>36</v>
      </c>
      <c r="B30">
        <v>4204.1099999999997</v>
      </c>
      <c r="C30" s="2">
        <f t="shared" si="0"/>
        <v>5.4865025818131288E-3</v>
      </c>
    </row>
    <row r="31" spans="1:3" x14ac:dyDescent="0.15">
      <c r="A31" s="2" t="s">
        <v>37</v>
      </c>
      <c r="B31">
        <v>4297.5</v>
      </c>
      <c r="C31" s="2">
        <f t="shared" si="0"/>
        <v>2.221397632316955E-2</v>
      </c>
    </row>
    <row r="32" spans="1:3" x14ac:dyDescent="0.15">
      <c r="A32" s="2" t="s">
        <v>38</v>
      </c>
      <c r="B32">
        <v>4395.26</v>
      </c>
      <c r="C32" s="2">
        <f t="shared" si="0"/>
        <v>2.2748109365910464E-2</v>
      </c>
    </row>
    <row r="33" spans="1:3" x14ac:dyDescent="0.15">
      <c r="A33" s="2" t="s">
        <v>39</v>
      </c>
      <c r="B33">
        <v>4522.68</v>
      </c>
      <c r="C33" s="2">
        <f t="shared" si="0"/>
        <v>2.8990321391681052E-2</v>
      </c>
    </row>
    <row r="34" spans="1:3" x14ac:dyDescent="0.15">
      <c r="A34" s="2" t="s">
        <v>40</v>
      </c>
      <c r="B34">
        <v>4307.54</v>
      </c>
      <c r="C34" s="2">
        <f t="shared" si="0"/>
        <v>-4.7569140421166278E-2</v>
      </c>
    </row>
    <row r="35" spans="1:3" x14ac:dyDescent="0.15">
      <c r="A35" s="2" t="s">
        <v>41</v>
      </c>
      <c r="B35">
        <v>4605.38</v>
      </c>
      <c r="C35" s="2">
        <f t="shared" si="0"/>
        <v>6.9143873301234615E-2</v>
      </c>
    </row>
    <row r="36" spans="1:3" x14ac:dyDescent="0.15">
      <c r="A36" s="2" t="s">
        <v>42</v>
      </c>
      <c r="B36">
        <v>4567</v>
      </c>
      <c r="C36" s="2">
        <f t="shared" si="0"/>
        <v>-8.3337314184714628E-3</v>
      </c>
    </row>
    <row r="37" spans="1:3" x14ac:dyDescent="0.15">
      <c r="A37" s="2" t="s">
        <v>43</v>
      </c>
      <c r="B37">
        <v>4766.18</v>
      </c>
      <c r="C37" s="2">
        <f t="shared" si="0"/>
        <v>4.3612874972629799E-2</v>
      </c>
    </row>
    <row r="38" spans="1:3" x14ac:dyDescent="0.15">
      <c r="A38" s="2" t="s">
        <v>44</v>
      </c>
      <c r="B38">
        <v>4515.55</v>
      </c>
      <c r="C38" s="2">
        <f t="shared" si="0"/>
        <v>-5.2585089106999758E-2</v>
      </c>
    </row>
    <row r="39" spans="1:3" x14ac:dyDescent="0.15">
      <c r="A39" s="2" t="s">
        <v>45</v>
      </c>
      <c r="B39">
        <v>4373.9399999999996</v>
      </c>
      <c r="C39" s="2">
        <f t="shared" si="0"/>
        <v>-3.136052086678269E-2</v>
      </c>
    </row>
    <row r="40" spans="1:3" x14ac:dyDescent="0.15">
      <c r="A40" s="2" t="s">
        <v>46</v>
      </c>
      <c r="B40">
        <v>4530.41</v>
      </c>
      <c r="C40" s="2">
        <f t="shared" si="0"/>
        <v>3.5773238773279988E-2</v>
      </c>
    </row>
    <row r="41" spans="1:3" x14ac:dyDescent="0.15">
      <c r="A41" s="2" t="s">
        <v>47</v>
      </c>
      <c r="B41">
        <v>4131.93</v>
      </c>
      <c r="C41" s="2">
        <f t="shared" si="0"/>
        <v>-8.7956719149039395E-2</v>
      </c>
    </row>
    <row r="42" spans="1:3" x14ac:dyDescent="0.15">
      <c r="A42" s="2" t="s">
        <v>48</v>
      </c>
      <c r="B42">
        <v>4132.1499999999996</v>
      </c>
      <c r="C42" s="2">
        <f t="shared" si="0"/>
        <v>5.3243883608711947E-5</v>
      </c>
    </row>
    <row r="43" spans="1:3" x14ac:dyDescent="0.15">
      <c r="A43" s="2" t="s">
        <v>49</v>
      </c>
      <c r="B43">
        <v>3785.38</v>
      </c>
      <c r="C43" s="2">
        <f t="shared" si="0"/>
        <v>-8.391999322386641E-2</v>
      </c>
    </row>
    <row r="44" spans="1:3" x14ac:dyDescent="0.15">
      <c r="A44" s="2" t="s">
        <v>50</v>
      </c>
      <c r="B44">
        <v>4130.29</v>
      </c>
      <c r="C44" s="2">
        <f t="shared" si="0"/>
        <v>9.1116347632205968E-2</v>
      </c>
    </row>
    <row r="45" spans="1:3" x14ac:dyDescent="0.15">
      <c r="A45" s="2" t="s">
        <v>51</v>
      </c>
      <c r="B45">
        <v>3955</v>
      </c>
      <c r="C45" s="2">
        <f t="shared" si="0"/>
        <v>-4.2440119216810436E-2</v>
      </c>
    </row>
    <row r="46" spans="1:3" x14ac:dyDescent="0.15">
      <c r="A46" s="2" t="s">
        <v>52</v>
      </c>
      <c r="B46">
        <v>3585.62</v>
      </c>
      <c r="C46" s="2">
        <f t="shared" si="0"/>
        <v>-9.3395701643489287E-2</v>
      </c>
    </row>
    <row r="47" spans="1:3" x14ac:dyDescent="0.15">
      <c r="A47" s="2" t="s">
        <v>53</v>
      </c>
      <c r="B47">
        <v>3871.98</v>
      </c>
      <c r="C47" s="2">
        <f t="shared" si="0"/>
        <v>7.9863454576893297E-2</v>
      </c>
    </row>
    <row r="48" spans="1:3" x14ac:dyDescent="0.15">
      <c r="A48" s="2" t="s">
        <v>54</v>
      </c>
      <c r="B48">
        <v>4080.11</v>
      </c>
      <c r="C48" s="2">
        <f t="shared" si="0"/>
        <v>5.375286029369989E-2</v>
      </c>
    </row>
    <row r="49" spans="1:3" x14ac:dyDescent="0.15">
      <c r="A49" s="2" t="s">
        <v>55</v>
      </c>
      <c r="B49">
        <v>3839.5</v>
      </c>
      <c r="C49" s="2">
        <f t="shared" si="0"/>
        <v>-5.897144929916108E-2</v>
      </c>
    </row>
    <row r="50" spans="1:3" x14ac:dyDescent="0.15">
      <c r="A50" s="2" t="s">
        <v>56</v>
      </c>
      <c r="B50">
        <v>4076.6</v>
      </c>
      <c r="C50" s="2">
        <f t="shared" si="0"/>
        <v>6.1752832400052068E-2</v>
      </c>
    </row>
    <row r="51" spans="1:3" x14ac:dyDescent="0.15">
      <c r="A51" s="2" t="s">
        <v>57</v>
      </c>
      <c r="B51">
        <v>3970.15</v>
      </c>
      <c r="C51" s="2">
        <f t="shared" si="0"/>
        <v>-2.6112446646715356E-2</v>
      </c>
    </row>
    <row r="52" spans="1:3" x14ac:dyDescent="0.15">
      <c r="A52" s="2" t="s">
        <v>58</v>
      </c>
      <c r="B52">
        <v>4109.3100000000004</v>
      </c>
      <c r="C52" s="2">
        <f t="shared" si="0"/>
        <v>3.5051572358727079E-2</v>
      </c>
    </row>
    <row r="53" spans="1:3" x14ac:dyDescent="0.15">
      <c r="A53" s="2" t="s">
        <v>59</v>
      </c>
      <c r="B53">
        <v>4169.4799999999996</v>
      </c>
      <c r="C53" s="2">
        <f t="shared" si="0"/>
        <v>1.4642360882970416E-2</v>
      </c>
    </row>
    <row r="54" spans="1:3" x14ac:dyDescent="0.15">
      <c r="A54" s="2" t="s">
        <v>60</v>
      </c>
      <c r="B54">
        <v>4179.83</v>
      </c>
      <c r="C54" s="2">
        <f t="shared" si="0"/>
        <v>2.4823239348792572E-3</v>
      </c>
    </row>
    <row r="55" spans="1:3" x14ac:dyDescent="0.15">
      <c r="A55" s="2" t="s">
        <v>61</v>
      </c>
      <c r="B55">
        <v>4450.38</v>
      </c>
      <c r="C55" s="2">
        <f t="shared" si="0"/>
        <v>6.4727512841431398E-2</v>
      </c>
    </row>
    <row r="56" spans="1:3" x14ac:dyDescent="0.15">
      <c r="A56" s="2" t="s">
        <v>62</v>
      </c>
      <c r="B56">
        <v>4588.96</v>
      </c>
      <c r="C56" s="2">
        <f t="shared" si="0"/>
        <v>3.1138913980379185E-2</v>
      </c>
    </row>
    <row r="57" spans="1:3" x14ac:dyDescent="0.15">
      <c r="A57" s="2" t="s">
        <v>63</v>
      </c>
      <c r="B57">
        <v>4507.66</v>
      </c>
      <c r="C57" s="2">
        <f t="shared" si="0"/>
        <v>-1.7716432481433741E-2</v>
      </c>
    </row>
    <row r="58" spans="1:3" x14ac:dyDescent="0.15">
      <c r="A58" s="2" t="s">
        <v>64</v>
      </c>
      <c r="B58">
        <v>4288.05</v>
      </c>
      <c r="C58" s="2">
        <f t="shared" si="0"/>
        <v>-4.8719291162155016E-2</v>
      </c>
    </row>
    <row r="59" spans="1:3" x14ac:dyDescent="0.15">
      <c r="A59" s="2" t="s">
        <v>65</v>
      </c>
      <c r="B59">
        <v>4193.8</v>
      </c>
      <c r="C59" s="2">
        <f t="shared" si="0"/>
        <v>-2.1979687736850082E-2</v>
      </c>
    </row>
    <row r="60" spans="1:3" x14ac:dyDescent="0.15">
      <c r="A60" s="2" t="s">
        <v>66</v>
      </c>
      <c r="B60">
        <v>4567.8</v>
      </c>
      <c r="C60" s="2">
        <f t="shared" si="0"/>
        <v>8.9179264628737653E-2</v>
      </c>
    </row>
    <row r="61" spans="1:3" x14ac:dyDescent="0.15">
      <c r="A61" s="2" t="s">
        <v>67</v>
      </c>
      <c r="B61">
        <v>4769.83</v>
      </c>
      <c r="C61" s="2">
        <f t="shared" si="0"/>
        <v>4.4229169403213746E-2</v>
      </c>
    </row>
    <row r="62" spans="1:3" x14ac:dyDescent="0.15">
      <c r="A62" s="2" t="s">
        <v>68</v>
      </c>
      <c r="B62">
        <v>4845.6499999999996</v>
      </c>
      <c r="C62" s="2">
        <f t="shared" si="0"/>
        <v>1.5895744712075631E-2</v>
      </c>
    </row>
    <row r="63" spans="1:3" x14ac:dyDescent="0.15">
      <c r="A63" s="2" t="s">
        <v>69</v>
      </c>
      <c r="B63">
        <v>5096.2700000000004</v>
      </c>
      <c r="C63" s="2">
        <f t="shared" si="0"/>
        <v>5.1720615397315289E-2</v>
      </c>
    </row>
    <row r="64" spans="1:3" x14ac:dyDescent="0.15">
      <c r="A64" s="2" t="s">
        <v>70</v>
      </c>
      <c r="B64">
        <v>5254.35</v>
      </c>
      <c r="C64" s="2">
        <f t="shared" si="0"/>
        <v>3.1018764704381814E-2</v>
      </c>
    </row>
    <row r="65" spans="1:3" x14ac:dyDescent="0.15">
      <c r="A65" s="2" t="s">
        <v>71</v>
      </c>
      <c r="B65">
        <v>5035.6899999999996</v>
      </c>
      <c r="C65" s="2">
        <f t="shared" si="0"/>
        <v>-4.1615042774082567E-2</v>
      </c>
    </row>
    <row r="66" spans="1:3" x14ac:dyDescent="0.15">
      <c r="A66" s="2" t="s">
        <v>72</v>
      </c>
      <c r="B66">
        <v>5277.51</v>
      </c>
      <c r="C66" s="2">
        <f t="shared" si="0"/>
        <v>4.8021224499522536E-2</v>
      </c>
    </row>
    <row r="67" spans="1:3" x14ac:dyDescent="0.15">
      <c r="A67" s="2" t="s">
        <v>73</v>
      </c>
      <c r="B67">
        <v>5460.48</v>
      </c>
      <c r="C67" s="2">
        <f t="shared" si="0"/>
        <v>3.4669759034089816E-2</v>
      </c>
    </row>
    <row r="68" spans="1:3" x14ac:dyDescent="0.15">
      <c r="A68" s="2" t="s">
        <v>74</v>
      </c>
      <c r="B68">
        <v>5522.3</v>
      </c>
      <c r="C68" s="2">
        <f t="shared" ref="C68:C73" si="1">(B68-B67)/B67</f>
        <v>1.1321349038912444E-2</v>
      </c>
    </row>
    <row r="69" spans="1:3" x14ac:dyDescent="0.15">
      <c r="A69" s="2" t="s">
        <v>75</v>
      </c>
      <c r="B69">
        <v>5648.4</v>
      </c>
      <c r="C69" s="2">
        <f t="shared" si="1"/>
        <v>2.2834688445031861E-2</v>
      </c>
    </row>
    <row r="70" spans="1:3" x14ac:dyDescent="0.15">
      <c r="A70" s="2" t="s">
        <v>76</v>
      </c>
      <c r="B70">
        <v>5762.48</v>
      </c>
      <c r="C70" s="2">
        <f t="shared" si="1"/>
        <v>2.0196869910063014E-2</v>
      </c>
    </row>
    <row r="71" spans="1:3" x14ac:dyDescent="0.15">
      <c r="A71" s="2" t="s">
        <v>77</v>
      </c>
      <c r="B71">
        <v>5705.45</v>
      </c>
      <c r="C71" s="2">
        <f t="shared" si="1"/>
        <v>-9.896780552817494E-3</v>
      </c>
    </row>
    <row r="72" spans="1:3" x14ac:dyDescent="0.15">
      <c r="A72" s="2" t="s">
        <v>78</v>
      </c>
      <c r="B72">
        <v>6032.38</v>
      </c>
      <c r="C72" s="2">
        <f t="shared" si="1"/>
        <v>5.7301352215863834E-2</v>
      </c>
    </row>
    <row r="73" spans="1:3" x14ac:dyDescent="0.15">
      <c r="A73" s="2" t="s">
        <v>79</v>
      </c>
      <c r="B73">
        <v>5881.63</v>
      </c>
      <c r="C73" s="2">
        <f t="shared" si="1"/>
        <v>-2.4990136563014929E-2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C509-4B35-1945-8848-8FB395F73FAC}">
  <dimension ref="A1:C217"/>
  <sheetViews>
    <sheetView workbookViewId="0">
      <selection activeCell="C2" sqref="C2"/>
    </sheetView>
  </sheetViews>
  <sheetFormatPr baseColWidth="10" defaultColWidth="11.5" defaultRowHeight="13" x14ac:dyDescent="0.15"/>
  <cols>
    <col min="1" max="1" width="11.5" customWidth="1"/>
    <col min="2" max="2" width="24" bestFit="1" customWidth="1"/>
    <col min="3" max="3" width="22.33203125" bestFit="1" customWidth="1"/>
  </cols>
  <sheetData>
    <row r="1" spans="1:3" ht="15" x14ac:dyDescent="0.15">
      <c r="A1" s="1" t="s">
        <v>0</v>
      </c>
      <c r="B1" s="3" t="s">
        <v>84</v>
      </c>
      <c r="C1" s="11" t="s">
        <v>89</v>
      </c>
    </row>
    <row r="2" spans="1:3" x14ac:dyDescent="0.15">
      <c r="A2" s="2" t="s">
        <v>6</v>
      </c>
      <c r="B2" s="4">
        <v>2.4</v>
      </c>
      <c r="C2">
        <f>((1+(B2/100))^(1/12))-1</f>
        <v>1.9783315388433032E-3</v>
      </c>
    </row>
    <row r="3" spans="1:3" x14ac:dyDescent="0.15">
      <c r="A3" s="2" t="s">
        <v>9</v>
      </c>
      <c r="B3" s="4">
        <v>2.4300000000000002</v>
      </c>
      <c r="C3">
        <f t="shared" ref="C3:C66" si="0">((1+(B3/100))^(1/12))-1</f>
        <v>2.0027906163269105E-3</v>
      </c>
    </row>
    <row r="4" spans="1:3" x14ac:dyDescent="0.15">
      <c r="A4" s="2" t="s">
        <v>10</v>
      </c>
      <c r="B4" s="4">
        <v>2.4500000000000002</v>
      </c>
      <c r="C4">
        <f t="shared" si="0"/>
        <v>2.0190930200914003E-3</v>
      </c>
    </row>
    <row r="5" spans="1:3" x14ac:dyDescent="0.15">
      <c r="A5" s="2" t="s">
        <v>11</v>
      </c>
      <c r="B5" s="4">
        <v>2.4300000000000002</v>
      </c>
      <c r="C5">
        <f t="shared" si="0"/>
        <v>2.0027906163269105E-3</v>
      </c>
    </row>
    <row r="6" spans="1:3" x14ac:dyDescent="0.15">
      <c r="A6" s="2" t="s">
        <v>12</v>
      </c>
      <c r="B6" s="4">
        <v>2.4</v>
      </c>
      <c r="C6">
        <f t="shared" si="0"/>
        <v>1.9783315388433032E-3</v>
      </c>
    </row>
    <row r="7" spans="1:3" x14ac:dyDescent="0.15">
      <c r="A7" s="2" t="s">
        <v>13</v>
      </c>
      <c r="B7" s="4">
        <v>2.2200000000000002</v>
      </c>
      <c r="C7">
        <f t="shared" si="0"/>
        <v>1.8314389855391688E-3</v>
      </c>
    </row>
    <row r="8" spans="1:3" x14ac:dyDescent="0.15">
      <c r="A8" s="2" t="s">
        <v>14</v>
      </c>
      <c r="B8" s="4">
        <v>2.15</v>
      </c>
      <c r="C8">
        <f t="shared" si="0"/>
        <v>1.7742500619855051E-3</v>
      </c>
    </row>
    <row r="9" spans="1:3" x14ac:dyDescent="0.15">
      <c r="A9" s="2" t="s">
        <v>15</v>
      </c>
      <c r="B9" s="4">
        <v>2.0699999999999998</v>
      </c>
      <c r="C9">
        <f t="shared" si="0"/>
        <v>1.7088472872288651E-3</v>
      </c>
    </row>
    <row r="10" spans="1:3" x14ac:dyDescent="0.15">
      <c r="A10" s="2" t="s">
        <v>16</v>
      </c>
      <c r="B10" s="4">
        <v>1.99</v>
      </c>
      <c r="C10">
        <f t="shared" si="0"/>
        <v>1.6433975062259965E-3</v>
      </c>
    </row>
    <row r="11" spans="1:3" x14ac:dyDescent="0.15">
      <c r="A11" s="2" t="s">
        <v>17</v>
      </c>
      <c r="B11" s="4">
        <v>1.73</v>
      </c>
      <c r="C11">
        <f t="shared" si="0"/>
        <v>1.4303602255574255E-3</v>
      </c>
    </row>
    <row r="12" spans="1:3" x14ac:dyDescent="0.15">
      <c r="A12" s="2" t="s">
        <v>18</v>
      </c>
      <c r="B12" s="4">
        <v>1.58</v>
      </c>
      <c r="C12">
        <f t="shared" si="0"/>
        <v>1.3072269593599195E-3</v>
      </c>
    </row>
    <row r="13" spans="1:3" x14ac:dyDescent="0.15">
      <c r="A13" s="2" t="s">
        <v>19</v>
      </c>
      <c r="B13" s="4">
        <v>1.55</v>
      </c>
      <c r="C13">
        <f t="shared" si="0"/>
        <v>1.2825803067024744E-3</v>
      </c>
    </row>
    <row r="14" spans="1:3" x14ac:dyDescent="0.15">
      <c r="A14" s="2" t="s">
        <v>20</v>
      </c>
      <c r="B14" s="4">
        <v>1.53</v>
      </c>
      <c r="C14">
        <f t="shared" si="0"/>
        <v>1.2661454966749197E-3</v>
      </c>
    </row>
    <row r="15" spans="1:3" x14ac:dyDescent="0.15">
      <c r="A15" s="2" t="s">
        <v>21</v>
      </c>
      <c r="B15" s="4">
        <v>1.58</v>
      </c>
      <c r="C15">
        <f t="shared" si="0"/>
        <v>1.3072269593599195E-3</v>
      </c>
    </row>
    <row r="16" spans="1:3" x14ac:dyDescent="0.15">
      <c r="A16" s="2" t="s">
        <v>22</v>
      </c>
      <c r="B16" s="4">
        <v>0.37</v>
      </c>
      <c r="C16">
        <f t="shared" si="0"/>
        <v>3.0781168409865778E-4</v>
      </c>
    </row>
    <row r="17" spans="1:3" x14ac:dyDescent="0.15">
      <c r="A17" s="2" t="s">
        <v>23</v>
      </c>
      <c r="B17" s="4">
        <v>0.11</v>
      </c>
      <c r="C17">
        <f t="shared" si="0"/>
        <v>9.1620483841925449E-5</v>
      </c>
    </row>
    <row r="18" spans="1:3" x14ac:dyDescent="0.15">
      <c r="A18" s="2" t="s">
        <v>24</v>
      </c>
      <c r="B18" s="4">
        <v>0.1</v>
      </c>
      <c r="C18">
        <f t="shared" si="0"/>
        <v>8.3295163273211514E-5</v>
      </c>
    </row>
    <row r="19" spans="1:3" x14ac:dyDescent="0.15">
      <c r="A19" s="2" t="s">
        <v>25</v>
      </c>
      <c r="B19" s="4">
        <v>0.13</v>
      </c>
      <c r="C19">
        <f t="shared" si="0"/>
        <v>1.0826883828274347E-4</v>
      </c>
    </row>
    <row r="20" spans="1:3" x14ac:dyDescent="0.15">
      <c r="A20" s="2" t="s">
        <v>26</v>
      </c>
      <c r="B20" s="4">
        <v>0.11</v>
      </c>
      <c r="C20">
        <f t="shared" si="0"/>
        <v>9.1620483841925449E-5</v>
      </c>
    </row>
    <row r="21" spans="1:3" x14ac:dyDescent="0.15">
      <c r="A21" s="2" t="s">
        <v>27</v>
      </c>
      <c r="B21" s="4">
        <v>0.08</v>
      </c>
      <c r="C21">
        <f t="shared" si="0"/>
        <v>6.6642234708869097E-5</v>
      </c>
    </row>
    <row r="22" spans="1:3" x14ac:dyDescent="0.15">
      <c r="A22" s="2" t="s">
        <v>28</v>
      </c>
      <c r="B22" s="4">
        <v>0.09</v>
      </c>
      <c r="C22">
        <f t="shared" si="0"/>
        <v>7.4969080277487166E-5</v>
      </c>
    </row>
    <row r="23" spans="1:3" x14ac:dyDescent="0.15">
      <c r="A23" s="2" t="s">
        <v>29</v>
      </c>
      <c r="B23" s="4">
        <v>0.09</v>
      </c>
      <c r="C23">
        <f t="shared" si="0"/>
        <v>7.4969080277487166E-5</v>
      </c>
    </row>
    <row r="24" spans="1:3" x14ac:dyDescent="0.15">
      <c r="A24" s="2" t="s">
        <v>30</v>
      </c>
      <c r="B24" s="4">
        <v>0.09</v>
      </c>
      <c r="C24">
        <f t="shared" si="0"/>
        <v>7.4969080277487166E-5</v>
      </c>
    </row>
    <row r="25" spans="1:3" x14ac:dyDescent="0.15">
      <c r="A25" s="2" t="s">
        <v>31</v>
      </c>
      <c r="B25" s="4">
        <v>0.08</v>
      </c>
      <c r="C25">
        <f t="shared" si="0"/>
        <v>6.6642234708869097E-5</v>
      </c>
    </row>
    <row r="26" spans="1:3" x14ac:dyDescent="0.15">
      <c r="A26" s="2" t="s">
        <v>32</v>
      </c>
      <c r="B26" s="4">
        <v>0.08</v>
      </c>
      <c r="C26">
        <f t="shared" si="0"/>
        <v>6.6642234708869097E-5</v>
      </c>
    </row>
    <row r="27" spans="1:3" x14ac:dyDescent="0.15">
      <c r="A27" s="2" t="s">
        <v>33</v>
      </c>
      <c r="B27" s="4">
        <v>0.04</v>
      </c>
      <c r="C27">
        <f t="shared" si="0"/>
        <v>3.3327223783574667E-5</v>
      </c>
    </row>
    <row r="28" spans="1:3" x14ac:dyDescent="0.15">
      <c r="A28" s="2" t="s">
        <v>34</v>
      </c>
      <c r="B28" s="4">
        <v>0.02</v>
      </c>
      <c r="C28">
        <f t="shared" si="0"/>
        <v>1.6665139084048874E-5</v>
      </c>
    </row>
    <row r="29" spans="1:3" x14ac:dyDescent="0.15">
      <c r="A29" s="2" t="s">
        <v>35</v>
      </c>
      <c r="B29" s="4">
        <v>0.02</v>
      </c>
      <c r="C29">
        <f t="shared" si="0"/>
        <v>1.6665139084048874E-5</v>
      </c>
    </row>
    <row r="30" spans="1:3" x14ac:dyDescent="0.15">
      <c r="A30" s="2" t="s">
        <v>36</v>
      </c>
      <c r="B30" s="4">
        <v>0.01</v>
      </c>
      <c r="C30">
        <f t="shared" si="0"/>
        <v>8.3329514133367866E-6</v>
      </c>
    </row>
    <row r="31" spans="1:3" x14ac:dyDescent="0.15">
      <c r="A31" s="2" t="s">
        <v>37</v>
      </c>
      <c r="B31" s="4">
        <v>0.03</v>
      </c>
      <c r="C31">
        <f t="shared" si="0"/>
        <v>2.4996563158685703E-5</v>
      </c>
    </row>
    <row r="32" spans="1:3" x14ac:dyDescent="0.15">
      <c r="A32" s="2" t="s">
        <v>38</v>
      </c>
      <c r="B32" s="4">
        <v>0.05</v>
      </c>
      <c r="C32">
        <f t="shared" si="0"/>
        <v>4.1657121104599071E-5</v>
      </c>
    </row>
    <row r="33" spans="1:3" x14ac:dyDescent="0.15">
      <c r="A33" s="2" t="s">
        <v>39</v>
      </c>
      <c r="B33" s="4">
        <v>0.04</v>
      </c>
      <c r="C33">
        <f t="shared" si="0"/>
        <v>3.3327223783574667E-5</v>
      </c>
    </row>
    <row r="34" spans="1:3" x14ac:dyDescent="0.15">
      <c r="A34" s="2" t="s">
        <v>40</v>
      </c>
      <c r="B34" s="4">
        <v>0.05</v>
      </c>
      <c r="C34">
        <f t="shared" si="0"/>
        <v>4.1657121104599071E-5</v>
      </c>
    </row>
    <row r="35" spans="1:3" x14ac:dyDescent="0.15">
      <c r="A35" s="2" t="s">
        <v>41</v>
      </c>
      <c r="B35" s="4">
        <v>0.06</v>
      </c>
      <c r="C35">
        <f t="shared" si="0"/>
        <v>4.99862552685304E-5</v>
      </c>
    </row>
    <row r="36" spans="1:3" x14ac:dyDescent="0.15">
      <c r="A36" s="2" t="s">
        <v>42</v>
      </c>
      <c r="B36" s="4">
        <v>7.0000000000000007E-2</v>
      </c>
      <c r="C36">
        <f t="shared" si="0"/>
        <v>5.8314626421251958E-5</v>
      </c>
    </row>
    <row r="37" spans="1:3" x14ac:dyDescent="0.15">
      <c r="A37" s="2" t="s">
        <v>43</v>
      </c>
      <c r="B37" s="4">
        <v>0.04</v>
      </c>
      <c r="C37">
        <f t="shared" si="0"/>
        <v>3.3327223783574667E-5</v>
      </c>
    </row>
    <row r="38" spans="1:3" x14ac:dyDescent="0.15">
      <c r="A38" s="2" t="s">
        <v>44</v>
      </c>
      <c r="B38" s="4">
        <v>0.05</v>
      </c>
      <c r="C38">
        <f t="shared" si="0"/>
        <v>4.1657121104599071E-5</v>
      </c>
    </row>
    <row r="39" spans="1:3" x14ac:dyDescent="0.15">
      <c r="A39" s="2" t="s">
        <v>45</v>
      </c>
      <c r="B39" s="4">
        <v>0.04</v>
      </c>
      <c r="C39">
        <f t="shared" si="0"/>
        <v>3.3327223783574667E-5</v>
      </c>
    </row>
    <row r="40" spans="1:3" x14ac:dyDescent="0.15">
      <c r="A40" s="2" t="s">
        <v>46</v>
      </c>
      <c r="B40" s="4">
        <v>0.18</v>
      </c>
      <c r="C40">
        <f t="shared" si="0"/>
        <v>1.4987639212593606E-4</v>
      </c>
    </row>
    <row r="41" spans="1:3" x14ac:dyDescent="0.15">
      <c r="A41" s="2" t="s">
        <v>47</v>
      </c>
      <c r="B41" s="4">
        <v>0.31</v>
      </c>
      <c r="C41">
        <f t="shared" si="0"/>
        <v>2.5796701004310307E-4</v>
      </c>
    </row>
    <row r="42" spans="1:3" x14ac:dyDescent="0.15">
      <c r="A42" s="2" t="s">
        <v>48</v>
      </c>
      <c r="B42" s="4">
        <v>0.57999999999999996</v>
      </c>
      <c r="C42">
        <f t="shared" si="0"/>
        <v>4.8205321330185846E-4</v>
      </c>
    </row>
    <row r="43" spans="1:3" x14ac:dyDescent="0.15">
      <c r="A43" s="2" t="s">
        <v>49</v>
      </c>
      <c r="B43" s="4">
        <v>1.06</v>
      </c>
      <c r="C43">
        <f t="shared" si="0"/>
        <v>8.7907064595027506E-4</v>
      </c>
    </row>
    <row r="44" spans="1:3" x14ac:dyDescent="0.15">
      <c r="A44" s="2" t="s">
        <v>50</v>
      </c>
      <c r="B44" s="4">
        <v>1.85</v>
      </c>
      <c r="C44">
        <f t="shared" si="0"/>
        <v>1.5287470679612447E-3</v>
      </c>
    </row>
    <row r="45" spans="1:3" x14ac:dyDescent="0.15">
      <c r="A45" s="2" t="s">
        <v>51</v>
      </c>
      <c r="B45" s="4">
        <v>2.2799999999999998</v>
      </c>
      <c r="C45">
        <f t="shared" si="0"/>
        <v>1.8804294971668245E-3</v>
      </c>
    </row>
    <row r="46" spans="1:3" x14ac:dyDescent="0.15">
      <c r="A46" s="2" t="s">
        <v>52</v>
      </c>
      <c r="B46" s="4">
        <v>2.61</v>
      </c>
      <c r="C46">
        <f t="shared" si="0"/>
        <v>2.1494073283745418E-3</v>
      </c>
    </row>
    <row r="47" spans="1:3" x14ac:dyDescent="0.15">
      <c r="A47" s="2" t="s">
        <v>53</v>
      </c>
      <c r="B47" s="4">
        <v>3.32</v>
      </c>
      <c r="C47">
        <f t="shared" si="0"/>
        <v>2.7254391280759904E-3</v>
      </c>
    </row>
    <row r="48" spans="1:3" x14ac:dyDescent="0.15">
      <c r="A48" s="2" t="s">
        <v>54</v>
      </c>
      <c r="B48" s="4">
        <v>3.87</v>
      </c>
      <c r="C48">
        <f t="shared" si="0"/>
        <v>3.1691721789193217E-3</v>
      </c>
    </row>
    <row r="49" spans="1:3" x14ac:dyDescent="0.15">
      <c r="A49" s="2" t="s">
        <v>55</v>
      </c>
      <c r="B49" s="4">
        <v>3.9</v>
      </c>
      <c r="C49">
        <f t="shared" si="0"/>
        <v>3.1933138078821255E-3</v>
      </c>
    </row>
    <row r="50" spans="1:3" x14ac:dyDescent="0.15">
      <c r="A50" s="2" t="s">
        <v>56</v>
      </c>
      <c r="B50" s="4">
        <v>4.5199999999999996</v>
      </c>
      <c r="C50">
        <f t="shared" si="0"/>
        <v>3.690815569153072E-3</v>
      </c>
    </row>
    <row r="51" spans="1:3" x14ac:dyDescent="0.15">
      <c r="A51" s="2" t="s">
        <v>57</v>
      </c>
      <c r="B51" s="4">
        <v>4.6399999999999997</v>
      </c>
      <c r="C51">
        <f t="shared" si="0"/>
        <v>3.7867936638156241E-3</v>
      </c>
    </row>
    <row r="52" spans="1:3" x14ac:dyDescent="0.15">
      <c r="A52" s="2" t="s">
        <v>58</v>
      </c>
      <c r="B52" s="4">
        <v>4.49</v>
      </c>
      <c r="C52">
        <f t="shared" si="0"/>
        <v>3.6668052630131065E-3</v>
      </c>
    </row>
    <row r="53" spans="1:3" x14ac:dyDescent="0.15">
      <c r="A53" s="2" t="s">
        <v>59</v>
      </c>
      <c r="B53" s="4">
        <v>4.17</v>
      </c>
      <c r="C53">
        <f t="shared" si="0"/>
        <v>3.4103013914235092E-3</v>
      </c>
    </row>
    <row r="54" spans="1:3" x14ac:dyDescent="0.15">
      <c r="A54" s="2" t="s">
        <v>60</v>
      </c>
      <c r="B54" s="4">
        <v>5.49</v>
      </c>
      <c r="C54">
        <f t="shared" si="0"/>
        <v>4.463764356697375E-3</v>
      </c>
    </row>
    <row r="55" spans="1:3" x14ac:dyDescent="0.15">
      <c r="A55" s="2" t="s">
        <v>61</v>
      </c>
      <c r="B55" s="4">
        <v>5.2</v>
      </c>
      <c r="C55">
        <f t="shared" si="0"/>
        <v>4.2333616592649115E-3</v>
      </c>
    </row>
    <row r="56" spans="1:3" x14ac:dyDescent="0.15">
      <c r="A56" s="2" t="s">
        <v>62</v>
      </c>
      <c r="B56" s="4">
        <v>5.39</v>
      </c>
      <c r="C56">
        <f t="shared" si="0"/>
        <v>4.3843808093919634E-3</v>
      </c>
    </row>
    <row r="57" spans="1:3" x14ac:dyDescent="0.15">
      <c r="A57" s="2" t="s">
        <v>63</v>
      </c>
      <c r="B57" s="4">
        <v>5.54</v>
      </c>
      <c r="C57">
        <f t="shared" si="0"/>
        <v>4.5034302658089054E-3</v>
      </c>
    </row>
    <row r="58" spans="1:3" x14ac:dyDescent="0.15">
      <c r="A58" s="2" t="s">
        <v>64</v>
      </c>
      <c r="B58" s="4">
        <v>5.53</v>
      </c>
      <c r="C58">
        <f t="shared" si="0"/>
        <v>4.4954984622596061E-3</v>
      </c>
    </row>
    <row r="59" spans="1:3" x14ac:dyDescent="0.15">
      <c r="A59" s="2" t="s">
        <v>65</v>
      </c>
      <c r="B59" s="4">
        <v>5.57</v>
      </c>
      <c r="C59">
        <f t="shared" si="0"/>
        <v>4.5272215436409358E-3</v>
      </c>
    </row>
    <row r="60" spans="1:3" x14ac:dyDescent="0.15">
      <c r="A60" s="2" t="s">
        <v>66</v>
      </c>
      <c r="B60" s="4">
        <v>5.53</v>
      </c>
      <c r="C60">
        <f t="shared" si="0"/>
        <v>4.4954984622596061E-3</v>
      </c>
    </row>
    <row r="61" spans="1:3" x14ac:dyDescent="0.15">
      <c r="A61" s="2" t="s">
        <v>67</v>
      </c>
      <c r="B61" s="4">
        <v>5.54</v>
      </c>
      <c r="C61">
        <f t="shared" si="0"/>
        <v>4.5034302658089054E-3</v>
      </c>
    </row>
    <row r="62" spans="1:3" x14ac:dyDescent="0.15">
      <c r="A62" s="2" t="s">
        <v>68</v>
      </c>
      <c r="B62" s="4">
        <v>5.54</v>
      </c>
      <c r="C62">
        <f t="shared" si="0"/>
        <v>4.5034302658089054E-3</v>
      </c>
    </row>
    <row r="63" spans="1:3" x14ac:dyDescent="0.15">
      <c r="A63" s="2" t="s">
        <v>69</v>
      </c>
      <c r="B63" s="4">
        <v>5.49</v>
      </c>
      <c r="C63">
        <f t="shared" si="0"/>
        <v>4.463764356697375E-3</v>
      </c>
    </row>
    <row r="64" spans="1:3" x14ac:dyDescent="0.15">
      <c r="A64" s="2" t="s">
        <v>70</v>
      </c>
      <c r="B64" s="4">
        <v>5.51</v>
      </c>
      <c r="C64">
        <f t="shared" si="0"/>
        <v>4.4796327880016751E-3</v>
      </c>
    </row>
    <row r="65" spans="1:3" x14ac:dyDescent="0.15">
      <c r="A65" s="2" t="s">
        <v>71</v>
      </c>
      <c r="B65" s="4">
        <v>5.48</v>
      </c>
      <c r="C65">
        <f t="shared" si="0"/>
        <v>4.455829106839726E-3</v>
      </c>
    </row>
    <row r="66" spans="1:3" x14ac:dyDescent="0.15">
      <c r="A66" s="2" t="s">
        <v>72</v>
      </c>
      <c r="B66" s="4">
        <v>5.5</v>
      </c>
      <c r="C66">
        <f t="shared" si="0"/>
        <v>4.471698917043021E-3</v>
      </c>
    </row>
    <row r="67" spans="1:3" x14ac:dyDescent="0.15">
      <c r="A67" s="2" t="s">
        <v>73</v>
      </c>
      <c r="B67" s="4">
        <v>5.46</v>
      </c>
      <c r="C67">
        <f t="shared" ref="C67:C73" si="1">((1+(B67/100))^(1/12))-1</f>
        <v>4.439956538087042E-3</v>
      </c>
    </row>
    <row r="68" spans="1:3" x14ac:dyDescent="0.15">
      <c r="A68" s="2" t="s">
        <v>74</v>
      </c>
      <c r="B68" s="4">
        <v>5.48</v>
      </c>
      <c r="C68">
        <f t="shared" si="1"/>
        <v>4.455829106839726E-3</v>
      </c>
    </row>
    <row r="69" spans="1:3" x14ac:dyDescent="0.15">
      <c r="A69" s="2" t="s">
        <v>75</v>
      </c>
      <c r="B69" s="4">
        <v>5.5</v>
      </c>
      <c r="C69">
        <f t="shared" si="1"/>
        <v>4.471698917043021E-3</v>
      </c>
    </row>
    <row r="70" spans="1:3" x14ac:dyDescent="0.15">
      <c r="A70" s="2" t="s">
        <v>76</v>
      </c>
      <c r="B70" s="4">
        <v>5.0599999999999996</v>
      </c>
      <c r="C70">
        <f t="shared" si="1"/>
        <v>4.1219243192651689E-3</v>
      </c>
    </row>
    <row r="71" spans="1:3" x14ac:dyDescent="0.15">
      <c r="A71" s="2" t="s">
        <v>77</v>
      </c>
      <c r="B71" s="4">
        <v>4.92</v>
      </c>
      <c r="C71">
        <f t="shared" si="1"/>
        <v>4.0103507726252374E-3</v>
      </c>
    </row>
    <row r="72" spans="1:3" x14ac:dyDescent="0.15">
      <c r="A72" s="2" t="s">
        <v>78</v>
      </c>
      <c r="B72" s="4">
        <v>4.71</v>
      </c>
      <c r="C72">
        <f t="shared" si="1"/>
        <v>3.8427343023630378E-3</v>
      </c>
    </row>
    <row r="73" spans="1:3" x14ac:dyDescent="0.15">
      <c r="A73" s="2" t="s">
        <v>79</v>
      </c>
      <c r="B73" s="4">
        <v>4.5</v>
      </c>
      <c r="C73">
        <f t="shared" si="1"/>
        <v>3.6748094004368514E-3</v>
      </c>
    </row>
    <row r="74" spans="1:3" x14ac:dyDescent="0.15">
      <c r="A74" s="2"/>
    </row>
    <row r="75" spans="1:3" x14ac:dyDescent="0.15">
      <c r="A75" s="2"/>
    </row>
    <row r="76" spans="1:3" x14ac:dyDescent="0.15">
      <c r="A76" s="2"/>
    </row>
    <row r="77" spans="1:3" x14ac:dyDescent="0.15">
      <c r="A77" s="2"/>
    </row>
    <row r="78" spans="1:3" x14ac:dyDescent="0.15">
      <c r="A78" s="2"/>
    </row>
    <row r="79" spans="1:3" x14ac:dyDescent="0.15">
      <c r="A79" s="2"/>
    </row>
    <row r="80" spans="1:3" x14ac:dyDescent="0.15">
      <c r="A80" s="2"/>
    </row>
    <row r="81" spans="1:1" x14ac:dyDescent="0.15">
      <c r="A81" s="2"/>
    </row>
    <row r="82" spans="1:1" x14ac:dyDescent="0.15">
      <c r="A82" s="2"/>
    </row>
    <row r="83" spans="1:1" x14ac:dyDescent="0.15">
      <c r="A83" s="2"/>
    </row>
    <row r="84" spans="1:1" x14ac:dyDescent="0.15">
      <c r="A84" s="2"/>
    </row>
    <row r="85" spans="1:1" x14ac:dyDescent="0.15">
      <c r="A85" s="2"/>
    </row>
    <row r="86" spans="1:1" x14ac:dyDescent="0.15">
      <c r="A86" s="2"/>
    </row>
    <row r="87" spans="1:1" x14ac:dyDescent="0.15">
      <c r="A87" s="2"/>
    </row>
    <row r="88" spans="1:1" x14ac:dyDescent="0.15">
      <c r="A88" s="2"/>
    </row>
    <row r="89" spans="1:1" x14ac:dyDescent="0.15">
      <c r="A89" s="2"/>
    </row>
    <row r="90" spans="1:1" x14ac:dyDescent="0.15">
      <c r="A90" s="2"/>
    </row>
    <row r="91" spans="1:1" x14ac:dyDescent="0.15">
      <c r="A91" s="2"/>
    </row>
    <row r="92" spans="1:1" x14ac:dyDescent="0.15">
      <c r="A92" s="2"/>
    </row>
    <row r="93" spans="1:1" x14ac:dyDescent="0.15">
      <c r="A93" s="2"/>
    </row>
    <row r="94" spans="1:1" x14ac:dyDescent="0.15">
      <c r="A94" s="2"/>
    </row>
    <row r="95" spans="1:1" x14ac:dyDescent="0.15">
      <c r="A95" s="2"/>
    </row>
    <row r="96" spans="1:1" x14ac:dyDescent="0.15">
      <c r="A96" s="2"/>
    </row>
    <row r="97" spans="1:1" x14ac:dyDescent="0.15">
      <c r="A97" s="2"/>
    </row>
    <row r="98" spans="1:1" x14ac:dyDescent="0.15">
      <c r="A98" s="2"/>
    </row>
    <row r="99" spans="1:1" x14ac:dyDescent="0.15">
      <c r="A99" s="2"/>
    </row>
    <row r="100" spans="1:1" x14ac:dyDescent="0.15">
      <c r="A100" s="2"/>
    </row>
    <row r="101" spans="1:1" x14ac:dyDescent="0.15">
      <c r="A101" s="2"/>
    </row>
    <row r="102" spans="1:1" x14ac:dyDescent="0.15">
      <c r="A102" s="2"/>
    </row>
    <row r="103" spans="1:1" x14ac:dyDescent="0.15">
      <c r="A103" s="2"/>
    </row>
    <row r="104" spans="1:1" x14ac:dyDescent="0.15">
      <c r="A104" s="2"/>
    </row>
    <row r="105" spans="1:1" x14ac:dyDescent="0.15">
      <c r="A105" s="2"/>
    </row>
    <row r="106" spans="1:1" x14ac:dyDescent="0.15">
      <c r="A106" s="2"/>
    </row>
    <row r="107" spans="1:1" x14ac:dyDescent="0.15">
      <c r="A107" s="2"/>
    </row>
    <row r="108" spans="1:1" x14ac:dyDescent="0.15">
      <c r="A108" s="2"/>
    </row>
    <row r="109" spans="1:1" x14ac:dyDescent="0.15">
      <c r="A109" s="2"/>
    </row>
    <row r="110" spans="1:1" x14ac:dyDescent="0.15">
      <c r="A110" s="2"/>
    </row>
    <row r="111" spans="1:1" x14ac:dyDescent="0.15">
      <c r="A111" s="2"/>
    </row>
    <row r="112" spans="1:1" x14ac:dyDescent="0.15">
      <c r="A112" s="2"/>
    </row>
    <row r="113" spans="1:1" x14ac:dyDescent="0.15">
      <c r="A113" s="2"/>
    </row>
    <row r="114" spans="1:1" x14ac:dyDescent="0.15">
      <c r="A114" s="2"/>
    </row>
    <row r="115" spans="1:1" x14ac:dyDescent="0.15">
      <c r="A115" s="2"/>
    </row>
    <row r="116" spans="1:1" x14ac:dyDescent="0.15">
      <c r="A116" s="2"/>
    </row>
    <row r="117" spans="1:1" x14ac:dyDescent="0.15">
      <c r="A117" s="2"/>
    </row>
    <row r="118" spans="1:1" x14ac:dyDescent="0.15">
      <c r="A118" s="2"/>
    </row>
    <row r="119" spans="1:1" x14ac:dyDescent="0.15">
      <c r="A119" s="2"/>
    </row>
    <row r="120" spans="1:1" x14ac:dyDescent="0.15">
      <c r="A120" s="2"/>
    </row>
    <row r="121" spans="1:1" x14ac:dyDescent="0.15">
      <c r="A121" s="2"/>
    </row>
    <row r="122" spans="1:1" x14ac:dyDescent="0.15">
      <c r="A122" s="2"/>
    </row>
    <row r="123" spans="1:1" x14ac:dyDescent="0.15">
      <c r="A123" s="2"/>
    </row>
    <row r="124" spans="1:1" x14ac:dyDescent="0.15">
      <c r="A124" s="2"/>
    </row>
    <row r="125" spans="1:1" x14ac:dyDescent="0.15">
      <c r="A125" s="2"/>
    </row>
    <row r="126" spans="1:1" x14ac:dyDescent="0.15">
      <c r="A126" s="2"/>
    </row>
    <row r="127" spans="1:1" x14ac:dyDescent="0.15">
      <c r="A127" s="2"/>
    </row>
    <row r="128" spans="1:1" x14ac:dyDescent="0.15">
      <c r="A128" s="2"/>
    </row>
    <row r="129" spans="1:1" x14ac:dyDescent="0.15">
      <c r="A129" s="2"/>
    </row>
    <row r="130" spans="1:1" x14ac:dyDescent="0.15">
      <c r="A130" s="2"/>
    </row>
    <row r="131" spans="1:1" x14ac:dyDescent="0.15">
      <c r="A131" s="2"/>
    </row>
    <row r="132" spans="1:1" x14ac:dyDescent="0.15">
      <c r="A132" s="2"/>
    </row>
    <row r="133" spans="1:1" x14ac:dyDescent="0.15">
      <c r="A133" s="2"/>
    </row>
    <row r="134" spans="1:1" x14ac:dyDescent="0.15">
      <c r="A134" s="2"/>
    </row>
    <row r="135" spans="1:1" x14ac:dyDescent="0.15">
      <c r="A135" s="2"/>
    </row>
    <row r="136" spans="1:1" x14ac:dyDescent="0.15">
      <c r="A136" s="2"/>
    </row>
    <row r="137" spans="1:1" x14ac:dyDescent="0.15">
      <c r="A137" s="2"/>
    </row>
    <row r="138" spans="1:1" x14ac:dyDescent="0.15">
      <c r="A138" s="2"/>
    </row>
    <row r="139" spans="1:1" x14ac:dyDescent="0.15">
      <c r="A139" s="2"/>
    </row>
    <row r="140" spans="1:1" x14ac:dyDescent="0.15">
      <c r="A140" s="2"/>
    </row>
    <row r="141" spans="1:1" x14ac:dyDescent="0.15">
      <c r="A141" s="2"/>
    </row>
    <row r="142" spans="1:1" x14ac:dyDescent="0.15">
      <c r="A142" s="2"/>
    </row>
    <row r="143" spans="1:1" x14ac:dyDescent="0.15">
      <c r="A143" s="2"/>
    </row>
    <row r="144" spans="1:1" x14ac:dyDescent="0.15">
      <c r="A144" s="2"/>
    </row>
    <row r="145" spans="1:1" x14ac:dyDescent="0.15">
      <c r="A145" s="2"/>
    </row>
    <row r="146" spans="1:1" x14ac:dyDescent="0.15">
      <c r="A146" s="2"/>
    </row>
    <row r="147" spans="1:1" x14ac:dyDescent="0.15">
      <c r="A147" s="2"/>
    </row>
    <row r="148" spans="1:1" x14ac:dyDescent="0.15">
      <c r="A148" s="2"/>
    </row>
    <row r="149" spans="1:1" x14ac:dyDescent="0.15">
      <c r="A149" s="2"/>
    </row>
    <row r="150" spans="1:1" x14ac:dyDescent="0.15">
      <c r="A150" s="2"/>
    </row>
    <row r="151" spans="1:1" x14ac:dyDescent="0.15">
      <c r="A151" s="2"/>
    </row>
    <row r="152" spans="1:1" x14ac:dyDescent="0.15">
      <c r="A152" s="2"/>
    </row>
    <row r="153" spans="1:1" x14ac:dyDescent="0.15">
      <c r="A153" s="2"/>
    </row>
    <row r="154" spans="1:1" x14ac:dyDescent="0.15">
      <c r="A154" s="2"/>
    </row>
    <row r="155" spans="1:1" x14ac:dyDescent="0.15">
      <c r="A155" s="2"/>
    </row>
    <row r="156" spans="1:1" x14ac:dyDescent="0.15">
      <c r="A156" s="2"/>
    </row>
    <row r="157" spans="1:1" x14ac:dyDescent="0.15">
      <c r="A157" s="2"/>
    </row>
    <row r="158" spans="1:1" x14ac:dyDescent="0.15">
      <c r="A158" s="2"/>
    </row>
    <row r="159" spans="1:1" x14ac:dyDescent="0.15">
      <c r="A159" s="2"/>
    </row>
    <row r="160" spans="1:1" x14ac:dyDescent="0.15">
      <c r="A160" s="2"/>
    </row>
    <row r="161" spans="1:1" x14ac:dyDescent="0.15">
      <c r="A161" s="2"/>
    </row>
    <row r="162" spans="1:1" x14ac:dyDescent="0.15">
      <c r="A162" s="2"/>
    </row>
    <row r="163" spans="1:1" x14ac:dyDescent="0.15">
      <c r="A163" s="2"/>
    </row>
    <row r="164" spans="1:1" x14ac:dyDescent="0.15">
      <c r="A164" s="2"/>
    </row>
    <row r="165" spans="1:1" x14ac:dyDescent="0.15">
      <c r="A165" s="2"/>
    </row>
    <row r="166" spans="1:1" x14ac:dyDescent="0.15">
      <c r="A166" s="2"/>
    </row>
    <row r="167" spans="1:1" x14ac:dyDescent="0.15">
      <c r="A167" s="2"/>
    </row>
    <row r="168" spans="1:1" x14ac:dyDescent="0.15">
      <c r="A168" s="2"/>
    </row>
    <row r="169" spans="1:1" x14ac:dyDescent="0.15">
      <c r="A169" s="2"/>
    </row>
    <row r="170" spans="1:1" x14ac:dyDescent="0.15">
      <c r="A170" s="2"/>
    </row>
    <row r="171" spans="1:1" x14ac:dyDescent="0.15">
      <c r="A171" s="2"/>
    </row>
    <row r="172" spans="1:1" x14ac:dyDescent="0.15">
      <c r="A172" s="2"/>
    </row>
    <row r="173" spans="1:1" x14ac:dyDescent="0.15">
      <c r="A173" s="2"/>
    </row>
    <row r="174" spans="1:1" x14ac:dyDescent="0.15">
      <c r="A174" s="2"/>
    </row>
    <row r="175" spans="1:1" x14ac:dyDescent="0.15">
      <c r="A175" s="2"/>
    </row>
    <row r="176" spans="1:1" x14ac:dyDescent="0.15">
      <c r="A176" s="2"/>
    </row>
    <row r="177" spans="1:1" x14ac:dyDescent="0.15">
      <c r="A177" s="2"/>
    </row>
    <row r="178" spans="1:1" x14ac:dyDescent="0.15">
      <c r="A178" s="2"/>
    </row>
    <row r="179" spans="1:1" x14ac:dyDescent="0.15">
      <c r="A179" s="2"/>
    </row>
    <row r="180" spans="1:1" x14ac:dyDescent="0.15">
      <c r="A180" s="2"/>
    </row>
    <row r="181" spans="1:1" x14ac:dyDescent="0.15">
      <c r="A181" s="2"/>
    </row>
    <row r="182" spans="1:1" x14ac:dyDescent="0.15">
      <c r="A182" s="2"/>
    </row>
    <row r="183" spans="1:1" x14ac:dyDescent="0.15">
      <c r="A183" s="2"/>
    </row>
    <row r="184" spans="1:1" x14ac:dyDescent="0.15">
      <c r="A184" s="2"/>
    </row>
    <row r="185" spans="1:1" x14ac:dyDescent="0.15">
      <c r="A185" s="2"/>
    </row>
    <row r="186" spans="1:1" x14ac:dyDescent="0.15">
      <c r="A186" s="2"/>
    </row>
    <row r="187" spans="1:1" x14ac:dyDescent="0.15">
      <c r="A187" s="2"/>
    </row>
    <row r="188" spans="1:1" x14ac:dyDescent="0.15">
      <c r="A188" s="2"/>
    </row>
    <row r="189" spans="1:1" x14ac:dyDescent="0.15">
      <c r="A189" s="2"/>
    </row>
    <row r="190" spans="1:1" x14ac:dyDescent="0.15">
      <c r="A190" s="2"/>
    </row>
    <row r="191" spans="1:1" x14ac:dyDescent="0.15">
      <c r="A191" s="2"/>
    </row>
    <row r="192" spans="1:1" x14ac:dyDescent="0.15">
      <c r="A192" s="2"/>
    </row>
    <row r="193" spans="1:1" x14ac:dyDescent="0.15">
      <c r="A193" s="2"/>
    </row>
    <row r="194" spans="1:1" x14ac:dyDescent="0.15">
      <c r="A194" s="2"/>
    </row>
    <row r="195" spans="1:1" x14ac:dyDescent="0.15">
      <c r="A195" s="2"/>
    </row>
    <row r="196" spans="1:1" x14ac:dyDescent="0.15">
      <c r="A196" s="2"/>
    </row>
    <row r="197" spans="1:1" x14ac:dyDescent="0.15">
      <c r="A197" s="2"/>
    </row>
    <row r="198" spans="1:1" x14ac:dyDescent="0.15">
      <c r="A198" s="2"/>
    </row>
    <row r="199" spans="1:1" x14ac:dyDescent="0.15">
      <c r="A199" s="2"/>
    </row>
    <row r="200" spans="1:1" x14ac:dyDescent="0.15">
      <c r="A200" s="2"/>
    </row>
    <row r="201" spans="1:1" x14ac:dyDescent="0.15">
      <c r="A201" s="2"/>
    </row>
    <row r="202" spans="1:1" x14ac:dyDescent="0.15">
      <c r="A202" s="2"/>
    </row>
    <row r="203" spans="1:1" x14ac:dyDescent="0.15">
      <c r="A203" s="2"/>
    </row>
    <row r="204" spans="1:1" x14ac:dyDescent="0.15">
      <c r="A204" s="2"/>
    </row>
    <row r="205" spans="1:1" x14ac:dyDescent="0.15">
      <c r="A205" s="2"/>
    </row>
    <row r="206" spans="1:1" x14ac:dyDescent="0.15">
      <c r="A206" s="2"/>
    </row>
    <row r="207" spans="1:1" x14ac:dyDescent="0.15">
      <c r="A207" s="2"/>
    </row>
    <row r="208" spans="1:1" x14ac:dyDescent="0.15">
      <c r="A208" s="2"/>
    </row>
    <row r="209" spans="1:1" x14ac:dyDescent="0.15">
      <c r="A209" s="2"/>
    </row>
    <row r="210" spans="1:1" x14ac:dyDescent="0.15">
      <c r="A210" s="2"/>
    </row>
    <row r="211" spans="1:1" x14ac:dyDescent="0.15">
      <c r="A211" s="2"/>
    </row>
    <row r="212" spans="1:1" x14ac:dyDescent="0.15">
      <c r="A212" s="2"/>
    </row>
    <row r="213" spans="1:1" x14ac:dyDescent="0.15">
      <c r="A213" s="2"/>
    </row>
    <row r="214" spans="1:1" x14ac:dyDescent="0.15">
      <c r="A214" s="2"/>
    </row>
    <row r="215" spans="1:1" x14ac:dyDescent="0.15">
      <c r="A215" s="2"/>
    </row>
    <row r="216" spans="1:1" x14ac:dyDescent="0.15">
      <c r="A216" s="2"/>
    </row>
    <row r="217" spans="1:1" x14ac:dyDescent="0.15">
      <c r="A217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163C-CBF2-6240-8C42-4B2DA8CB3706}">
  <dimension ref="D5:Q81"/>
  <sheetViews>
    <sheetView tabSelected="1" topLeftCell="F2" zoomScale="125" zoomScaleNormal="88" workbookViewId="0">
      <selection activeCell="I10" sqref="I10"/>
    </sheetView>
  </sheetViews>
  <sheetFormatPr baseColWidth="10" defaultRowHeight="13" x14ac:dyDescent="0.15"/>
  <cols>
    <col min="1" max="1" width="24.1640625" bestFit="1" customWidth="1"/>
    <col min="2" max="3" width="12.6640625" bestFit="1" customWidth="1"/>
    <col min="4" max="4" width="19.5" bestFit="1" customWidth="1"/>
    <col min="5" max="5" width="16" bestFit="1" customWidth="1"/>
    <col min="6" max="6" width="12.6640625" bestFit="1" customWidth="1"/>
    <col min="7" max="7" width="14.83203125" bestFit="1" customWidth="1"/>
    <col min="8" max="8" width="12.6640625" bestFit="1" customWidth="1"/>
    <col min="9" max="9" width="22.83203125" bestFit="1" customWidth="1"/>
    <col min="10" max="10" width="16" bestFit="1" customWidth="1"/>
    <col min="11" max="11" width="12.6640625" bestFit="1" customWidth="1"/>
    <col min="12" max="12" width="14.83203125" bestFit="1" customWidth="1"/>
    <col min="15" max="15" width="16" bestFit="1" customWidth="1"/>
    <col min="16" max="16" width="12.1640625" bestFit="1" customWidth="1"/>
    <col min="17" max="17" width="14.83203125" bestFit="1" customWidth="1"/>
  </cols>
  <sheetData>
    <row r="5" spans="4:17" x14ac:dyDescent="0.15">
      <c r="J5" s="15" t="s">
        <v>95</v>
      </c>
      <c r="K5" s="16"/>
      <c r="L5" s="16"/>
    </row>
    <row r="6" spans="4:17" x14ac:dyDescent="0.15">
      <c r="J6" s="16"/>
      <c r="K6" s="16"/>
      <c r="L6" s="16"/>
    </row>
    <row r="7" spans="4:17" x14ac:dyDescent="0.15">
      <c r="J7" s="16"/>
      <c r="K7" s="16"/>
      <c r="L7" s="16"/>
    </row>
    <row r="8" spans="4:17" x14ac:dyDescent="0.15">
      <c r="D8" s="8" t="s">
        <v>94</v>
      </c>
      <c r="E8" s="8" t="s">
        <v>2</v>
      </c>
    </row>
    <row r="9" spans="4:17" x14ac:dyDescent="0.15">
      <c r="D9" s="8" t="s">
        <v>0</v>
      </c>
      <c r="E9" t="s">
        <v>81</v>
      </c>
      <c r="F9" t="s">
        <v>8</v>
      </c>
      <c r="G9" t="s">
        <v>83</v>
      </c>
      <c r="H9" t="s">
        <v>87</v>
      </c>
      <c r="J9" s="13" t="s">
        <v>81</v>
      </c>
      <c r="K9" s="13" t="s">
        <v>8</v>
      </c>
      <c r="L9" s="13" t="s">
        <v>83</v>
      </c>
      <c r="O9" s="13" t="s">
        <v>81</v>
      </c>
      <c r="P9" s="13" t="s">
        <v>8</v>
      </c>
      <c r="Q9" s="13" t="s">
        <v>83</v>
      </c>
    </row>
    <row r="10" spans="4:17" x14ac:dyDescent="0.15">
      <c r="D10" t="s">
        <v>9</v>
      </c>
      <c r="E10" s="7">
        <v>-4.7908779340559392E-2</v>
      </c>
      <c r="F10" s="7">
        <v>3.8312037549979312E-2</v>
      </c>
      <c r="G10" s="7">
        <v>2.0635004659263684E-2</v>
      </c>
      <c r="H10" s="7">
        <v>1.1038262868683604E-2</v>
      </c>
      <c r="I10" s="6"/>
      <c r="J10" s="14">
        <v>-4.7908779340559392E-2</v>
      </c>
      <c r="K10" s="14">
        <v>3.8312037549979312E-2</v>
      </c>
      <c r="L10" s="14">
        <v>2.0635004659263684E-2</v>
      </c>
      <c r="N10" s="6" t="s">
        <v>96</v>
      </c>
      <c r="O10" s="17">
        <f>AVERAGE(J10:J80)</f>
        <v>1.5161003715439547E-2</v>
      </c>
      <c r="P10" s="17">
        <f t="shared" ref="P10:Q10" si="0">AVERAGE(K10:K80)</f>
        <v>2.6890055861011519E-2</v>
      </c>
      <c r="Q10" s="17">
        <f t="shared" si="0"/>
        <v>1.3736478158426376E-2</v>
      </c>
    </row>
    <row r="11" spans="4:17" x14ac:dyDescent="0.15">
      <c r="D11" t="s">
        <v>10</v>
      </c>
      <c r="E11" s="7">
        <v>8.3916644220964121E-2</v>
      </c>
      <c r="F11" s="7">
        <v>9.5006607239798771E-2</v>
      </c>
      <c r="G11" s="7">
        <v>-4.0517649324230028E-2</v>
      </c>
      <c r="H11" s="7">
        <v>0.13840560213653286</v>
      </c>
      <c r="I11" s="6"/>
      <c r="J11" s="14">
        <v>8.3916644220964121E-2</v>
      </c>
      <c r="K11" s="14">
        <v>9.5006607239798771E-2</v>
      </c>
      <c r="L11" s="14">
        <v>-4.0517649324230028E-2</v>
      </c>
      <c r="N11" s="6" t="s">
        <v>97</v>
      </c>
      <c r="O11" s="17">
        <f>_xlfn.STDEV.S(J10:J80)</f>
        <v>8.9491082534793889E-2</v>
      </c>
      <c r="P11" s="17">
        <f t="shared" ref="P11:Q11" si="1">_xlfn.STDEV.S(K10:K80)</f>
        <v>8.2388955002812042E-2</v>
      </c>
      <c r="Q11" s="17">
        <f t="shared" si="1"/>
        <v>0.10626433911800146</v>
      </c>
    </row>
    <row r="12" spans="4:17" x14ac:dyDescent="0.15">
      <c r="D12" t="s">
        <v>11</v>
      </c>
      <c r="E12" s="7">
        <v>7.9855976756970842E-2</v>
      </c>
      <c r="F12" s="7">
        <v>5.443311356898501E-2</v>
      </c>
      <c r="G12" s="7">
        <v>1.601522740169108E-2</v>
      </c>
      <c r="H12" s="7">
        <v>0.15030431772764694</v>
      </c>
      <c r="I12" s="6"/>
      <c r="J12" s="14">
        <v>7.9855976756970842E-2</v>
      </c>
      <c r="K12" s="14">
        <v>5.443311356898501E-2</v>
      </c>
      <c r="L12" s="14">
        <v>1.601522740169108E-2</v>
      </c>
      <c r="N12" s="6" t="s">
        <v>98</v>
      </c>
      <c r="O12" s="17">
        <f>O10/O11</f>
        <v>0.16941356933016191</v>
      </c>
      <c r="P12" s="17">
        <f t="shared" ref="P12:Q12" si="2">P10/P11</f>
        <v>0.326379377673788</v>
      </c>
      <c r="Q12" s="17">
        <f t="shared" si="2"/>
        <v>0.12926705489762352</v>
      </c>
    </row>
    <row r="13" spans="4:17" x14ac:dyDescent="0.15">
      <c r="D13" t="s">
        <v>12</v>
      </c>
      <c r="E13" s="7">
        <v>-8.0591582374547083E-2</v>
      </c>
      <c r="F13" s="7">
        <v>-0.12955096322270235</v>
      </c>
      <c r="G13" s="7">
        <v>-7.3758075884959376E-2</v>
      </c>
      <c r="H13" s="7">
        <v>-0.28390062148220879</v>
      </c>
      <c r="I13" s="6"/>
      <c r="J13" s="14">
        <v>-8.0591582374547083E-2</v>
      </c>
      <c r="K13" s="14">
        <v>-0.12955096322270235</v>
      </c>
      <c r="L13" s="14">
        <v>-7.3758075884959376E-2</v>
      </c>
    </row>
    <row r="14" spans="4:17" x14ac:dyDescent="0.15">
      <c r="D14" t="s">
        <v>13</v>
      </c>
      <c r="E14" s="7">
        <v>6.496029317150262E-2</v>
      </c>
      <c r="F14" s="7">
        <v>0.12868778189753616</v>
      </c>
      <c r="G14" s="7">
        <v>0.11045669660768123</v>
      </c>
      <c r="H14" s="7">
        <v>0.30410477167672001</v>
      </c>
      <c r="I14" s="6"/>
      <c r="J14" s="14">
        <v>6.496029317150262E-2</v>
      </c>
      <c r="K14" s="14">
        <v>0.12868778189753616</v>
      </c>
      <c r="L14" s="14">
        <v>0.11045669660768123</v>
      </c>
      <c r="O14">
        <f>0.2651*SQRT(12)</f>
        <v>0.91833333817301865</v>
      </c>
    </row>
    <row r="15" spans="4:17" x14ac:dyDescent="0.15">
      <c r="D15" t="s">
        <v>14</v>
      </c>
      <c r="E15" s="7">
        <v>-1.5953366362424413E-2</v>
      </c>
      <c r="F15" s="7">
        <v>7.4620252767440554E-2</v>
      </c>
      <c r="G15" s="7">
        <v>-6.536154823890335E-3</v>
      </c>
      <c r="H15" s="7">
        <v>5.2130731581125807E-2</v>
      </c>
      <c r="I15" s="6"/>
      <c r="J15" s="14">
        <v>-1.5953366362424413E-2</v>
      </c>
      <c r="K15" s="14">
        <v>7.4620252767440554E-2</v>
      </c>
      <c r="L15" s="14">
        <v>-6.536154823890335E-3</v>
      </c>
    </row>
    <row r="16" spans="4:17" x14ac:dyDescent="0.15">
      <c r="D16" t="s">
        <v>15</v>
      </c>
      <c r="E16" s="7">
        <v>-5.0182689946781683E-2</v>
      </c>
      <c r="F16" s="7">
        <v>-2.1892850291359466E-2</v>
      </c>
      <c r="G16" s="7">
        <v>-0.21223516307670248</v>
      </c>
      <c r="H16" s="7">
        <v>-0.28431070331484365</v>
      </c>
      <c r="I16" s="6"/>
      <c r="J16" s="14">
        <v>-5.0182689946781683E-2</v>
      </c>
      <c r="K16" s="14">
        <v>-2.1892850291359466E-2</v>
      </c>
      <c r="L16" s="14">
        <v>-0.21223516307670248</v>
      </c>
    </row>
    <row r="17" spans="4:12" x14ac:dyDescent="0.15">
      <c r="D17" t="s">
        <v>16</v>
      </c>
      <c r="E17" s="7">
        <v>-2.4376171996877794E-2</v>
      </c>
      <c r="F17" s="7">
        <v>7.1318181491570251E-2</v>
      </c>
      <c r="G17" s="7">
        <v>8.1992966130137582E-2</v>
      </c>
      <c r="H17" s="7">
        <v>0.12893497562483003</v>
      </c>
      <c r="I17" s="6"/>
      <c r="J17" s="14">
        <v>-2.4376171996877794E-2</v>
      </c>
      <c r="K17" s="14">
        <v>7.1318181491570251E-2</v>
      </c>
      <c r="L17" s="14">
        <v>8.1992966130137582E-2</v>
      </c>
    </row>
    <row r="18" spans="4:12" x14ac:dyDescent="0.15">
      <c r="D18" t="s">
        <v>17</v>
      </c>
      <c r="E18" s="7">
        <v>2.2044359085927615E-2</v>
      </c>
      <c r="F18" s="7">
        <v>0.1092541064440858</v>
      </c>
      <c r="G18" s="7">
        <v>0.11490073597131069</v>
      </c>
      <c r="H18" s="7">
        <v>0.24619920150132413</v>
      </c>
      <c r="I18" s="6"/>
      <c r="J18" s="14">
        <v>2.2044359085927615E-2</v>
      </c>
      <c r="K18" s="14">
        <v>0.1092541064440858</v>
      </c>
      <c r="L18" s="14">
        <v>0.11490073597131069</v>
      </c>
    </row>
    <row r="19" spans="4:12" x14ac:dyDescent="0.15">
      <c r="D19" t="s">
        <v>18</v>
      </c>
      <c r="E19" s="7">
        <v>1.2280066051120348E-2</v>
      </c>
      <c r="F19" s="7">
        <v>7.3021443244853018E-2</v>
      </c>
      <c r="G19" s="7">
        <v>0.12795129007470812</v>
      </c>
      <c r="H19" s="7">
        <v>0.21325279937068148</v>
      </c>
      <c r="I19" s="6"/>
      <c r="J19" s="14">
        <v>1.2280066051120348E-2</v>
      </c>
      <c r="K19" s="14">
        <v>7.3021443244853018E-2</v>
      </c>
      <c r="L19" s="14">
        <v>0.12795129007470812</v>
      </c>
    </row>
    <row r="20" spans="4:12" x14ac:dyDescent="0.15">
      <c r="D20" t="s">
        <v>19</v>
      </c>
      <c r="E20" s="7">
        <v>2.4839143371662677E-2</v>
      </c>
      <c r="F20" s="7">
        <v>9.7501329889742722E-2</v>
      </c>
      <c r="G20" s="7">
        <v>-1.1043006216196657E-2</v>
      </c>
      <c r="H20" s="7">
        <v>0.11129746704520875</v>
      </c>
      <c r="I20" s="6"/>
      <c r="J20" s="14">
        <v>2.4839143371662677E-2</v>
      </c>
      <c r="K20" s="14">
        <v>9.7501329889742722E-2</v>
      </c>
      <c r="L20" s="14">
        <v>-1.1043006216196657E-2</v>
      </c>
    </row>
    <row r="21" spans="4:12" x14ac:dyDescent="0.15">
      <c r="D21" t="s">
        <v>20</v>
      </c>
      <c r="E21" s="7">
        <v>8.579766955224713E-2</v>
      </c>
      <c r="F21" s="7">
        <v>5.2743730205691897E-2</v>
      </c>
      <c r="G21" s="7">
        <v>0.11432525235278737</v>
      </c>
      <c r="H21" s="7">
        <v>0.2528666521107264</v>
      </c>
      <c r="I21" s="6"/>
      <c r="J21" s="14">
        <v>8.579766955224713E-2</v>
      </c>
      <c r="K21" s="14">
        <v>5.2743730205691897E-2</v>
      </c>
      <c r="L21" s="14">
        <v>0.11432525235278737</v>
      </c>
    </row>
    <row r="22" spans="4:12" x14ac:dyDescent="0.15">
      <c r="D22" t="s">
        <v>21</v>
      </c>
      <c r="E22" s="7">
        <v>-6.3520975017825027E-2</v>
      </c>
      <c r="F22" s="7">
        <v>-0.11810474561788462</v>
      </c>
      <c r="G22" s="7">
        <v>-0.12741164463004254</v>
      </c>
      <c r="H22" s="7">
        <v>-0.30903736526575221</v>
      </c>
      <c r="I22" s="6"/>
      <c r="J22" s="14">
        <v>-6.3520975017825027E-2</v>
      </c>
      <c r="K22" s="14">
        <v>-0.11810474561788462</v>
      </c>
      <c r="L22" s="14">
        <v>-0.12741164463004254</v>
      </c>
    </row>
    <row r="23" spans="4:12" x14ac:dyDescent="0.15">
      <c r="D23" t="s">
        <v>22</v>
      </c>
      <c r="E23" s="7">
        <v>3.471275898610706E-2</v>
      </c>
      <c r="F23" s="7">
        <v>-7.0069298368324665E-2</v>
      </c>
      <c r="G23" s="7">
        <v>-0.27052839991939281</v>
      </c>
      <c r="H23" s="7">
        <v>-0.30588493930161043</v>
      </c>
      <c r="I23" s="6"/>
      <c r="J23" s="14">
        <v>3.471275898610706E-2</v>
      </c>
      <c r="K23" s="14">
        <v>-7.0069298368324665E-2</v>
      </c>
      <c r="L23" s="14">
        <v>-0.27052839991939281</v>
      </c>
    </row>
    <row r="24" spans="4:12" x14ac:dyDescent="0.15">
      <c r="D24" t="s">
        <v>23</v>
      </c>
      <c r="E24" s="7">
        <v>0.26880852928125254</v>
      </c>
      <c r="F24" s="7">
        <v>0.15528216535122835</v>
      </c>
      <c r="G24" s="7">
        <v>-0.14366844668031553</v>
      </c>
      <c r="H24" s="7">
        <v>0.28042224795216536</v>
      </c>
      <c r="I24" s="6"/>
      <c r="J24" s="14">
        <v>0.26880852928125254</v>
      </c>
      <c r="K24" s="14">
        <v>0.15528216535122835</v>
      </c>
      <c r="L24" s="14">
        <v>-0.14366844668031553</v>
      </c>
    </row>
    <row r="25" spans="4:12" x14ac:dyDescent="0.15">
      <c r="D25" t="s">
        <v>24</v>
      </c>
      <c r="E25" s="7">
        <v>-1.2868258784938575E-2</v>
      </c>
      <c r="F25" s="7">
        <v>8.2081442753677042E-2</v>
      </c>
      <c r="G25" s="7">
        <v>-3.3906824575037853E-2</v>
      </c>
      <c r="H25" s="7">
        <v>3.5306359393700609E-2</v>
      </c>
      <c r="I25" s="6"/>
      <c r="J25" s="14">
        <v>-1.2868258784938575E-2</v>
      </c>
      <c r="K25" s="14">
        <v>8.2081442753677042E-2</v>
      </c>
      <c r="L25" s="14">
        <v>-3.3906824575037853E-2</v>
      </c>
    </row>
    <row r="26" spans="4:12" x14ac:dyDescent="0.15">
      <c r="D26" t="s">
        <v>25</v>
      </c>
      <c r="E26" s="7">
        <v>0.12945850441884058</v>
      </c>
      <c r="F26" s="7">
        <v>0.14727803046347235</v>
      </c>
      <c r="G26" s="7">
        <v>3.9465551557455424E-2</v>
      </c>
      <c r="H26" s="7">
        <v>0.31620208643976833</v>
      </c>
      <c r="I26" s="6"/>
      <c r="J26" s="14">
        <v>0.12945850441884058</v>
      </c>
      <c r="K26" s="14">
        <v>0.14727803046347235</v>
      </c>
      <c r="L26" s="14">
        <v>3.9465551557455424E-2</v>
      </c>
    </row>
    <row r="27" spans="4:12" x14ac:dyDescent="0.15">
      <c r="D27" t="s">
        <v>26</v>
      </c>
      <c r="E27" s="7">
        <v>0.14702200055703774</v>
      </c>
      <c r="F27" s="7">
        <v>0.16503995846352651</v>
      </c>
      <c r="G27" s="7">
        <v>-0.11136541257754613</v>
      </c>
      <c r="H27" s="7">
        <v>0.2006965464430181</v>
      </c>
      <c r="I27" s="6"/>
      <c r="J27" s="14">
        <v>0.14702200055703774</v>
      </c>
      <c r="K27" s="14">
        <v>0.16503995846352651</v>
      </c>
      <c r="L27" s="14">
        <v>-0.11136541257754613</v>
      </c>
    </row>
    <row r="28" spans="4:12" x14ac:dyDescent="0.15">
      <c r="D28" t="s">
        <v>27</v>
      </c>
      <c r="E28" s="7">
        <v>9.0394320643054513E-2</v>
      </c>
      <c r="F28" s="7">
        <v>0.21431318084076625</v>
      </c>
      <c r="G28" s="7">
        <v>4.4414412131024171E-2</v>
      </c>
      <c r="H28" s="7">
        <v>0.3491219136148449</v>
      </c>
      <c r="I28" s="6"/>
      <c r="J28" s="14">
        <v>9.0394320643054513E-2</v>
      </c>
      <c r="K28" s="14">
        <v>0.21431318084076625</v>
      </c>
      <c r="L28" s="14">
        <v>4.4414412131024171E-2</v>
      </c>
    </row>
    <row r="29" spans="4:12" x14ac:dyDescent="0.15">
      <c r="D29" t="s">
        <v>28</v>
      </c>
      <c r="E29" s="7">
        <v>-8.7653497953402645E-2</v>
      </c>
      <c r="F29" s="7">
        <v>-0.10260131749937226</v>
      </c>
      <c r="G29" s="7">
        <v>-1.7425126808984021E-2</v>
      </c>
      <c r="H29" s="7">
        <v>-0.20767994226175893</v>
      </c>
      <c r="I29" s="6"/>
      <c r="J29" s="14">
        <v>-8.7653497953402645E-2</v>
      </c>
      <c r="K29" s="14">
        <v>-0.10260131749937226</v>
      </c>
      <c r="L29" s="14">
        <v>-1.7425126808984021E-2</v>
      </c>
    </row>
    <row r="30" spans="4:12" x14ac:dyDescent="0.15">
      <c r="D30" t="s">
        <v>29</v>
      </c>
      <c r="E30" s="7">
        <v>-3.5829066764105549E-2</v>
      </c>
      <c r="F30" s="7">
        <v>-6.0087057846359884E-2</v>
      </c>
      <c r="G30" s="7">
        <v>0.1909362668747786</v>
      </c>
      <c r="H30" s="7">
        <v>9.502014226431317E-2</v>
      </c>
      <c r="I30" s="6"/>
      <c r="J30" s="14">
        <v>-3.5829066764105549E-2</v>
      </c>
      <c r="K30" s="14">
        <v>-6.0087057846359884E-2</v>
      </c>
      <c r="L30" s="14">
        <v>0.1909362668747786</v>
      </c>
    </row>
    <row r="31" spans="4:12" x14ac:dyDescent="0.15">
      <c r="D31" t="s">
        <v>30</v>
      </c>
      <c r="E31" s="7">
        <v>4.3364913665963595E-2</v>
      </c>
      <c r="F31" s="7">
        <v>9.353149794158544E-2</v>
      </c>
      <c r="G31" s="7">
        <v>0.37189268590624541</v>
      </c>
      <c r="H31" s="7">
        <v>0.50878909751379442</v>
      </c>
      <c r="I31" s="6"/>
      <c r="J31" s="14">
        <v>4.3364913665963595E-2</v>
      </c>
      <c r="K31" s="14">
        <v>9.353149794158544E-2</v>
      </c>
      <c r="L31" s="14">
        <v>0.37189268590624541</v>
      </c>
    </row>
    <row r="32" spans="4:12" x14ac:dyDescent="0.15">
      <c r="D32" t="s">
        <v>31</v>
      </c>
      <c r="E32" s="7">
        <v>2.799171561430815E-2</v>
      </c>
      <c r="F32" s="7">
        <v>0.11450706629112062</v>
      </c>
      <c r="G32" s="7">
        <v>6.0837090574721489E-2</v>
      </c>
      <c r="H32" s="7">
        <v>0.20333587248015028</v>
      </c>
      <c r="I32" s="6"/>
      <c r="J32" s="14">
        <v>2.799171561430815E-2</v>
      </c>
      <c r="K32" s="14">
        <v>0.11450706629112062</v>
      </c>
      <c r="L32" s="14">
        <v>6.0837090574721489E-2</v>
      </c>
    </row>
    <row r="33" spans="4:12" x14ac:dyDescent="0.15">
      <c r="D33" t="s">
        <v>32</v>
      </c>
      <c r="E33" s="7">
        <v>-1.5642660141142233E-2</v>
      </c>
      <c r="F33" s="7">
        <v>-5.5681871891137963E-3</v>
      </c>
      <c r="G33" s="7">
        <v>-1.1177753345820071E-2</v>
      </c>
      <c r="H33" s="7">
        <v>-3.2388600676076101E-2</v>
      </c>
      <c r="I33" s="6"/>
      <c r="J33" s="14">
        <v>-1.5642660141142233E-2</v>
      </c>
      <c r="K33" s="14">
        <v>-5.5681871891137963E-3</v>
      </c>
      <c r="L33" s="14">
        <v>-1.1177753345820071E-2</v>
      </c>
    </row>
    <row r="34" spans="4:12" x14ac:dyDescent="0.15">
      <c r="D34" t="s">
        <v>33</v>
      </c>
      <c r="E34" s="7">
        <v>-3.5361753398070891E-2</v>
      </c>
      <c r="F34" s="7">
        <v>-8.1118504550246162E-2</v>
      </c>
      <c r="G34" s="7">
        <v>0.1741239761470029</v>
      </c>
      <c r="H34" s="7">
        <v>5.7643718198685842E-2</v>
      </c>
      <c r="I34" s="6"/>
      <c r="J34" s="14">
        <v>-3.5361753398070891E-2</v>
      </c>
      <c r="K34" s="14">
        <v>-8.1118504550246162E-2</v>
      </c>
      <c r="L34" s="14">
        <v>0.1741239761470029</v>
      </c>
    </row>
    <row r="35" spans="4:12" x14ac:dyDescent="0.15">
      <c r="D35" t="s">
        <v>34</v>
      </c>
      <c r="E35" s="7">
        <v>3.5515058257796448E-4</v>
      </c>
      <c r="F35" s="7">
        <v>7.3229357185771796E-3</v>
      </c>
      <c r="G35" s="7">
        <v>4.7032776647199979E-2</v>
      </c>
      <c r="H35" s="7">
        <v>5.4710862948355123E-2</v>
      </c>
      <c r="I35" s="6"/>
      <c r="J35" s="14">
        <v>3.5515058257796448E-4</v>
      </c>
      <c r="K35" s="14">
        <v>7.3229357185771796E-3</v>
      </c>
      <c r="L35" s="14">
        <v>4.7032776647199979E-2</v>
      </c>
    </row>
    <row r="36" spans="4:12" x14ac:dyDescent="0.15">
      <c r="D36" t="s">
        <v>35</v>
      </c>
      <c r="E36" s="7">
        <v>0.12064601973008551</v>
      </c>
      <c r="F36" s="7">
        <v>7.6201099903895911E-2</v>
      </c>
      <c r="G36" s="7">
        <v>-7.7827976208492955E-4</v>
      </c>
      <c r="H36" s="7">
        <v>0.19606883987189652</v>
      </c>
      <c r="I36" s="6"/>
      <c r="J36" s="14">
        <v>0.12064601973008551</v>
      </c>
      <c r="K36" s="14">
        <v>7.6201099903895911E-2</v>
      </c>
      <c r="L36" s="14">
        <v>-7.7827976208492955E-4</v>
      </c>
    </row>
    <row r="37" spans="4:12" x14ac:dyDescent="0.15">
      <c r="D37" t="s">
        <v>36</v>
      </c>
      <c r="E37" s="7">
        <v>-7.0478596144219488E-2</v>
      </c>
      <c r="F37" s="7">
        <v>-5.2115437774173171E-2</v>
      </c>
      <c r="G37" s="7">
        <v>7.1638008512001403E-2</v>
      </c>
      <c r="H37" s="7">
        <v>-5.0956025406391256E-2</v>
      </c>
      <c r="I37" s="6"/>
      <c r="J37" s="14">
        <v>-7.0478596144219488E-2</v>
      </c>
      <c r="K37" s="14">
        <v>-5.2115437774173171E-2</v>
      </c>
      <c r="L37" s="14">
        <v>7.1638008512001403E-2</v>
      </c>
    </row>
    <row r="38" spans="4:12" x14ac:dyDescent="0.15">
      <c r="D38" t="s">
        <v>37</v>
      </c>
      <c r="E38" s="7">
        <v>6.7330040714964248E-2</v>
      </c>
      <c r="F38" s="7">
        <v>9.9084224205640031E-2</v>
      </c>
      <c r="G38" s="7">
        <v>-4.2699249763727652E-2</v>
      </c>
      <c r="H38" s="7">
        <v>0.12371501515687663</v>
      </c>
      <c r="I38" s="6"/>
      <c r="J38" s="14">
        <v>6.7330040714964248E-2</v>
      </c>
      <c r="K38" s="14">
        <v>9.9084224205640031E-2</v>
      </c>
      <c r="L38" s="14">
        <v>-4.2699249763727652E-2</v>
      </c>
    </row>
    <row r="39" spans="4:12" x14ac:dyDescent="0.15">
      <c r="D39" t="s">
        <v>38</v>
      </c>
      <c r="E39" s="7">
        <v>-3.2763972362256089E-2</v>
      </c>
      <c r="F39" s="7">
        <v>6.4940819514409456E-2</v>
      </c>
      <c r="G39" s="7">
        <v>-3.7931701697627745E-2</v>
      </c>
      <c r="H39" s="7">
        <v>-5.7548545454743777E-3</v>
      </c>
      <c r="I39" s="6"/>
      <c r="J39" s="14">
        <v>-3.2763972362256089E-2</v>
      </c>
      <c r="K39" s="14">
        <v>6.4940819514409456E-2</v>
      </c>
      <c r="L39" s="14">
        <v>-3.7931701697627745E-2</v>
      </c>
    </row>
    <row r="40" spans="4:12" x14ac:dyDescent="0.15">
      <c r="D40" t="s">
        <v>39</v>
      </c>
      <c r="E40" s="7">
        <v>4.3000820612939042E-2</v>
      </c>
      <c r="F40" s="7">
        <v>4.0896331352933815E-2</v>
      </c>
      <c r="G40" s="7">
        <v>1.7437715247258918E-2</v>
      </c>
      <c r="H40" s="7">
        <v>0.10133486721313177</v>
      </c>
      <c r="I40" s="6"/>
      <c r="J40" s="14">
        <v>4.3000820612939042E-2</v>
      </c>
      <c r="K40" s="14">
        <v>4.0896331352933815E-2</v>
      </c>
      <c r="L40" s="14">
        <v>1.7437715247258918E-2</v>
      </c>
    </row>
    <row r="41" spans="4:12" x14ac:dyDescent="0.15">
      <c r="D41" t="s">
        <v>40</v>
      </c>
      <c r="E41" s="7">
        <v>-5.3559732256736547E-2</v>
      </c>
      <c r="F41" s="7">
        <v>-6.8078277024944497E-2</v>
      </c>
      <c r="G41" s="7">
        <v>-2.2620160109435836E-2</v>
      </c>
      <c r="H41" s="7">
        <v>-0.14425816939111688</v>
      </c>
      <c r="I41" s="6"/>
      <c r="J41" s="14">
        <v>-5.3559732256736547E-2</v>
      </c>
      <c r="K41" s="14">
        <v>-6.8078277024944497E-2</v>
      </c>
      <c r="L41" s="14">
        <v>-2.2620160109435836E-2</v>
      </c>
    </row>
    <row r="42" spans="4:12" x14ac:dyDescent="0.15">
      <c r="D42" t="s">
        <v>41</v>
      </c>
      <c r="E42" s="7">
        <v>2.6552429544843454E-2</v>
      </c>
      <c r="F42" s="7">
        <v>5.8607257560985969E-2</v>
      </c>
      <c r="G42" s="7">
        <v>1.7808889800249313E-2</v>
      </c>
      <c r="H42" s="7">
        <v>0.10296857690607875</v>
      </c>
      <c r="I42" s="6"/>
      <c r="J42" s="14">
        <v>2.6552429544843454E-2</v>
      </c>
      <c r="K42" s="14">
        <v>5.8607257560985969E-2</v>
      </c>
      <c r="L42" s="14">
        <v>1.7808889800249313E-2</v>
      </c>
    </row>
    <row r="43" spans="4:12" x14ac:dyDescent="0.15">
      <c r="D43" t="s">
        <v>42</v>
      </c>
      <c r="E43" s="7">
        <v>3.9865419891419097E-2</v>
      </c>
      <c r="F43" s="7">
        <v>0.10341298043365885</v>
      </c>
      <c r="G43" s="7">
        <v>-9.4270196003364226E-2</v>
      </c>
      <c r="H43" s="7">
        <v>4.9008204321713711E-2</v>
      </c>
      <c r="I43" s="6"/>
      <c r="J43" s="14">
        <v>3.9865419891419097E-2</v>
      </c>
      <c r="K43" s="14">
        <v>0.10341298043365885</v>
      </c>
      <c r="L43" s="14">
        <v>-9.4270196003364226E-2</v>
      </c>
    </row>
    <row r="44" spans="4:12" x14ac:dyDescent="0.15">
      <c r="D44" t="s">
        <v>43</v>
      </c>
      <c r="E44" s="7">
        <v>-4.9285266877112426E-2</v>
      </c>
      <c r="F44" s="7">
        <v>7.4195347912332468E-2</v>
      </c>
      <c r="G44" s="7">
        <v>-5.5075876722517928E-3</v>
      </c>
      <c r="H44" s="7">
        <v>1.9402493362968249E-2</v>
      </c>
      <c r="I44" s="6"/>
      <c r="J44" s="14">
        <v>-4.9285266877112426E-2</v>
      </c>
      <c r="K44" s="14">
        <v>7.4195347912332468E-2</v>
      </c>
      <c r="L44" s="14">
        <v>-5.5075876722517928E-3</v>
      </c>
    </row>
    <row r="45" spans="4:12" x14ac:dyDescent="0.15">
      <c r="D45" t="s">
        <v>44</v>
      </c>
      <c r="E45" s="7">
        <v>-0.10287160247760703</v>
      </c>
      <c r="F45" s="7">
        <v>-1.5753770653795889E-2</v>
      </c>
      <c r="G45" s="7">
        <v>6.4196589067996632E-5</v>
      </c>
      <c r="H45" s="7">
        <v>-0.11856117654233493</v>
      </c>
      <c r="I45" s="6"/>
      <c r="J45" s="14">
        <v>-0.10287160247760703</v>
      </c>
      <c r="K45" s="14">
        <v>-1.5753770653795889E-2</v>
      </c>
      <c r="L45" s="14">
        <v>6.4196589067996632E-5</v>
      </c>
    </row>
    <row r="46" spans="4:12" x14ac:dyDescent="0.15">
      <c r="D46" t="s">
        <v>45</v>
      </c>
      <c r="E46" s="7">
        <v>2.6639178266828205E-2</v>
      </c>
      <c r="F46" s="7">
        <v>-5.5302808857837796E-2</v>
      </c>
      <c r="G46" s="7">
        <v>1.0868450930323126E-2</v>
      </c>
      <c r="H46" s="7">
        <v>-1.7795179660686465E-2</v>
      </c>
      <c r="I46" s="6"/>
      <c r="J46" s="14">
        <v>2.6639178266828205E-2</v>
      </c>
      <c r="K46" s="14">
        <v>-5.5302808857837796E-2</v>
      </c>
      <c r="L46" s="14">
        <v>1.0868450930323126E-2</v>
      </c>
    </row>
    <row r="47" spans="4:12" x14ac:dyDescent="0.15">
      <c r="D47" t="s">
        <v>46</v>
      </c>
      <c r="E47" s="7">
        <v>6.1287449005267836E-2</v>
      </c>
      <c r="F47" s="7">
        <v>5.7323476321052412E-2</v>
      </c>
      <c r="G47" s="7">
        <v>-4.2135008838990191E-2</v>
      </c>
      <c r="H47" s="7">
        <v>7.647591648733007E-2</v>
      </c>
      <c r="I47" s="6"/>
      <c r="J47" s="14">
        <v>6.1287449005267836E-2</v>
      </c>
      <c r="K47" s="14">
        <v>5.7323476321052412E-2</v>
      </c>
      <c r="L47" s="14">
        <v>-4.2135008838990191E-2</v>
      </c>
    </row>
    <row r="48" spans="4:12" x14ac:dyDescent="0.15">
      <c r="D48" t="s">
        <v>47</v>
      </c>
      <c r="E48" s="7">
        <v>-0.23778308242592364</v>
      </c>
      <c r="F48" s="7">
        <v>-9.738871553532806E-2</v>
      </c>
      <c r="G48" s="7">
        <v>-0.18550386864938739</v>
      </c>
      <c r="H48" s="7">
        <v>-0.52067566661063913</v>
      </c>
      <c r="I48" s="6"/>
      <c r="J48" s="14">
        <v>-0.23778308242592364</v>
      </c>
      <c r="K48" s="14">
        <v>-9.738871553532806E-2</v>
      </c>
      <c r="L48" s="14">
        <v>-0.18550386864938739</v>
      </c>
    </row>
    <row r="49" spans="4:12" x14ac:dyDescent="0.15">
      <c r="D49" t="s">
        <v>48</v>
      </c>
      <c r="E49" s="7">
        <v>-3.3246382578492994E-2</v>
      </c>
      <c r="F49" s="7">
        <v>-5.6365338972895911E-2</v>
      </c>
      <c r="G49" s="7">
        <v>4.9685619489582236E-2</v>
      </c>
      <c r="H49" s="7">
        <v>-3.9926102061806676E-2</v>
      </c>
      <c r="I49" s="6"/>
      <c r="J49" s="14">
        <v>-3.3246382578492994E-2</v>
      </c>
      <c r="K49" s="14">
        <v>-5.6365338972895911E-2</v>
      </c>
      <c r="L49" s="14">
        <v>4.9685619489582236E-2</v>
      </c>
    </row>
    <row r="50" spans="4:12" x14ac:dyDescent="0.15">
      <c r="D50" t="s">
        <v>49</v>
      </c>
      <c r="E50" s="7">
        <v>-0.11733825232460306</v>
      </c>
      <c r="F50" s="7">
        <v>-8.230879383864044E-2</v>
      </c>
      <c r="G50" s="7">
        <v>-0.1876206723830815</v>
      </c>
      <c r="H50" s="7">
        <v>-0.38726771854632502</v>
      </c>
      <c r="I50" s="6"/>
      <c r="J50" s="14">
        <v>-0.11733825232460306</v>
      </c>
      <c r="K50" s="14">
        <v>-8.230879383864044E-2</v>
      </c>
      <c r="L50" s="14">
        <v>-0.1876206723830815</v>
      </c>
    </row>
    <row r="51" spans="4:12" x14ac:dyDescent="0.15">
      <c r="D51" t="s">
        <v>50</v>
      </c>
      <c r="E51" s="7">
        <v>0.26906724201028009</v>
      </c>
      <c r="F51" s="7">
        <v>0.18710495685246001</v>
      </c>
      <c r="G51" s="7">
        <v>0.15930052888617718</v>
      </c>
      <c r="H51" s="7">
        <v>0.61547272774891726</v>
      </c>
      <c r="I51" s="6"/>
      <c r="J51" s="14">
        <v>0.26906724201028009</v>
      </c>
      <c r="K51" s="14">
        <v>0.18710495685246001</v>
      </c>
      <c r="L51" s="14">
        <v>0.15930052888617718</v>
      </c>
    </row>
    <row r="52" spans="4:12" x14ac:dyDescent="0.15">
      <c r="D52" t="s">
        <v>51</v>
      </c>
      <c r="E52" s="7">
        <v>-6.249547210554026E-2</v>
      </c>
      <c r="F52" s="7">
        <v>-3.4432272460676712E-2</v>
      </c>
      <c r="G52" s="7">
        <v>-8.239514871270448E-3</v>
      </c>
      <c r="H52" s="7">
        <v>-0.10516725943748742</v>
      </c>
      <c r="I52" s="6"/>
      <c r="J52" s="14">
        <v>-6.249547210554026E-2</v>
      </c>
      <c r="K52" s="14">
        <v>-3.4432272460676712E-2</v>
      </c>
      <c r="L52" s="14">
        <v>-8.239514871270448E-3</v>
      </c>
    </row>
    <row r="53" spans="4:12" x14ac:dyDescent="0.15">
      <c r="D53" t="s">
        <v>52</v>
      </c>
      <c r="E53" s="7">
        <v>-0.11077132103035454</v>
      </c>
      <c r="F53" s="7">
        <v>-0.12312638226794972</v>
      </c>
      <c r="G53" s="7">
        <v>-0.15914831800375581</v>
      </c>
      <c r="H53" s="7">
        <v>-0.39304602130206012</v>
      </c>
      <c r="I53" s="6"/>
      <c r="J53" s="14">
        <v>-0.11077132103035454</v>
      </c>
      <c r="K53" s="14">
        <v>-0.12312638226794972</v>
      </c>
      <c r="L53" s="14">
        <v>-0.15914831800375581</v>
      </c>
    </row>
    <row r="54" spans="4:12" x14ac:dyDescent="0.15">
      <c r="D54" t="s">
        <v>53</v>
      </c>
      <c r="E54" s="7">
        <v>-9.6176766561704222E-2</v>
      </c>
      <c r="F54" s="7">
        <v>0.10682593569102687</v>
      </c>
      <c r="G54" s="7">
        <v>0.25409898342078535</v>
      </c>
      <c r="H54" s="7">
        <v>0.26474815255010797</v>
      </c>
      <c r="I54" s="6"/>
      <c r="J54" s="14">
        <v>-9.6176766561704222E-2</v>
      </c>
      <c r="K54" s="14">
        <v>0.10682593569102687</v>
      </c>
      <c r="L54" s="14">
        <v>0.25409898342078535</v>
      </c>
    </row>
    <row r="55" spans="4:12" x14ac:dyDescent="0.15">
      <c r="D55" t="s">
        <v>54</v>
      </c>
      <c r="E55" s="7">
        <v>-6.0763861753304324E-2</v>
      </c>
      <c r="F55" s="7">
        <v>-3.7798101355911641E-2</v>
      </c>
      <c r="G55" s="7">
        <v>0.10170166704483079</v>
      </c>
      <c r="H55" s="7">
        <v>3.1397039356148154E-3</v>
      </c>
      <c r="I55" s="6"/>
      <c r="J55" s="14">
        <v>-6.0763861753304324E-2</v>
      </c>
      <c r="K55" s="14">
        <v>-3.7798101355911641E-2</v>
      </c>
      <c r="L55" s="14">
        <v>0.10170166704483079</v>
      </c>
    </row>
    <row r="56" spans="4:12" x14ac:dyDescent="0.15">
      <c r="D56" t="s">
        <v>55</v>
      </c>
      <c r="E56" s="7">
        <v>-0.13308765812112025</v>
      </c>
      <c r="F56" s="7">
        <v>-0.12546582613646412</v>
      </c>
      <c r="G56" s="7">
        <v>-2.8550996720525985E-2</v>
      </c>
      <c r="H56" s="7">
        <v>-0.28710448097811037</v>
      </c>
      <c r="I56" s="6"/>
      <c r="J56" s="14">
        <v>-0.13308765812112025</v>
      </c>
      <c r="K56" s="14">
        <v>-0.12546582613646412</v>
      </c>
      <c r="L56" s="14">
        <v>-2.8550996720525985E-2</v>
      </c>
    </row>
    <row r="57" spans="4:12" x14ac:dyDescent="0.15">
      <c r="D57" t="s">
        <v>56</v>
      </c>
      <c r="E57" s="7">
        <v>0.22404727966894211</v>
      </c>
      <c r="F57" s="7">
        <v>0.10683023422689084</v>
      </c>
      <c r="G57" s="7">
        <v>-4.3194336275681325E-2</v>
      </c>
      <c r="H57" s="7">
        <v>0.28768317762015166</v>
      </c>
      <c r="I57" s="6"/>
      <c r="J57" s="14">
        <v>0.22404727966894211</v>
      </c>
      <c r="K57" s="14">
        <v>0.10683023422689084</v>
      </c>
      <c r="L57" s="14">
        <v>-4.3194336275681325E-2</v>
      </c>
    </row>
    <row r="58" spans="4:12" x14ac:dyDescent="0.15">
      <c r="D58" t="s">
        <v>57</v>
      </c>
      <c r="E58" s="7">
        <v>-9.0085639780367446E-2</v>
      </c>
      <c r="F58" s="7">
        <v>1.7836326441527814E-2</v>
      </c>
      <c r="G58" s="7">
        <v>4.8772848483301545E-2</v>
      </c>
      <c r="H58" s="7">
        <v>-2.3476464855538087E-2</v>
      </c>
      <c r="I58" s="6"/>
      <c r="J58" s="14">
        <v>-9.0085639780367446E-2</v>
      </c>
      <c r="K58" s="14">
        <v>1.7836326441527814E-2</v>
      </c>
      <c r="L58" s="14">
        <v>4.8772848483301545E-2</v>
      </c>
    </row>
    <row r="59" spans="4:12" x14ac:dyDescent="0.15">
      <c r="D59" t="s">
        <v>58</v>
      </c>
      <c r="E59" s="7">
        <v>9.248091839187389E-2</v>
      </c>
      <c r="F59" s="7">
        <v>0.11498186172023098</v>
      </c>
      <c r="G59" s="7">
        <v>0.12488944547479827</v>
      </c>
      <c r="H59" s="7">
        <v>0.33235222558690314</v>
      </c>
      <c r="I59" s="6"/>
      <c r="J59" s="14">
        <v>9.248091839187389E-2</v>
      </c>
      <c r="K59" s="14">
        <v>0.11498186172023098</v>
      </c>
      <c r="L59" s="14">
        <v>0.12488944547479827</v>
      </c>
    </row>
    <row r="60" spans="4:12" x14ac:dyDescent="0.15">
      <c r="D60" t="s">
        <v>59</v>
      </c>
      <c r="E60" s="7">
        <v>1.7501693961466322E-2</v>
      </c>
      <c r="F60" s="7">
        <v>2.5576963617672917E-2</v>
      </c>
      <c r="G60" s="7">
        <v>3.1840744633681146E-2</v>
      </c>
      <c r="H60" s="7">
        <v>7.4919402212820396E-2</v>
      </c>
      <c r="I60" s="6"/>
      <c r="J60" s="14">
        <v>1.7501693961466322E-2</v>
      </c>
      <c r="K60" s="14">
        <v>2.5576963617672917E-2</v>
      </c>
      <c r="L60" s="14">
        <v>3.1840744633681146E-2</v>
      </c>
    </row>
    <row r="61" spans="4:12" x14ac:dyDescent="0.15">
      <c r="D61" t="s">
        <v>60</v>
      </c>
      <c r="E61" s="7">
        <v>0.13901655807099342</v>
      </c>
      <c r="F61" s="7">
        <v>4.0149625553722194E-2</v>
      </c>
      <c r="G61" s="7">
        <v>2.1402659812242732E-2</v>
      </c>
      <c r="H61" s="7">
        <v>0.20056884343695836</v>
      </c>
      <c r="I61" s="6"/>
      <c r="J61" s="14">
        <v>0.13901655807099342</v>
      </c>
      <c r="K61" s="14">
        <v>4.0149625553722194E-2</v>
      </c>
      <c r="L61" s="14">
        <v>2.1402659812242732E-2</v>
      </c>
    </row>
    <row r="62" spans="4:12" x14ac:dyDescent="0.15">
      <c r="D62" t="s">
        <v>61</v>
      </c>
      <c r="E62" s="7">
        <v>7.6874616446557104E-2</v>
      </c>
      <c r="F62" s="7">
        <v>9.0096680653852151E-2</v>
      </c>
      <c r="G62" s="7">
        <v>7.771286113202823E-2</v>
      </c>
      <c r="H62" s="7">
        <v>0.2446841582324375</v>
      </c>
      <c r="I62" s="6"/>
      <c r="J62" s="14">
        <v>7.6874616446557104E-2</v>
      </c>
      <c r="K62" s="14">
        <v>9.0096680653852151E-2</v>
      </c>
      <c r="L62" s="14">
        <v>7.771286113202823E-2</v>
      </c>
    </row>
    <row r="63" spans="4:12" x14ac:dyDescent="0.15">
      <c r="D63" t="s">
        <v>62</v>
      </c>
      <c r="E63" s="7">
        <v>2.1083554139979043E-2</v>
      </c>
      <c r="F63" s="7">
        <v>8.401101481683923E-3</v>
      </c>
      <c r="G63" s="7">
        <v>3.5579205899756883E-2</v>
      </c>
      <c r="H63" s="7">
        <v>6.5063861521419852E-2</v>
      </c>
      <c r="I63" s="6"/>
      <c r="J63" s="14">
        <v>2.1083554139979043E-2</v>
      </c>
      <c r="K63" s="14">
        <v>8.401101481683923E-3</v>
      </c>
      <c r="L63" s="14">
        <v>3.5579205899756883E-2</v>
      </c>
    </row>
    <row r="64" spans="4:12" x14ac:dyDescent="0.15">
      <c r="D64" t="s">
        <v>63</v>
      </c>
      <c r="E64" s="7">
        <v>2.7887353695890467E-2</v>
      </c>
      <c r="F64" s="7">
        <v>-4.8178665694671136E-2</v>
      </c>
      <c r="G64" s="7">
        <v>-2.577659957685666E-3</v>
      </c>
      <c r="H64" s="7">
        <v>-2.2868971956466335E-2</v>
      </c>
      <c r="I64" s="6"/>
      <c r="J64" s="14">
        <v>2.7887353695890467E-2</v>
      </c>
      <c r="K64" s="14">
        <v>-4.8178665694671136E-2</v>
      </c>
      <c r="L64" s="14">
        <v>-2.577659957685666E-3</v>
      </c>
    </row>
    <row r="65" spans="4:12" x14ac:dyDescent="0.15">
      <c r="D65" t="s">
        <v>64</v>
      </c>
      <c r="E65" s="7">
        <v>-8.3402824018378632E-2</v>
      </c>
      <c r="F65" s="7">
        <v>-9.317383986855117E-2</v>
      </c>
      <c r="G65" s="7">
        <v>-3.8655903844052347E-2</v>
      </c>
      <c r="H65" s="7">
        <v>-0.21523256773098215</v>
      </c>
      <c r="I65" s="6"/>
      <c r="J65" s="14">
        <v>-8.3402824018378632E-2</v>
      </c>
      <c r="K65" s="14">
        <v>-9.317383986855117E-2</v>
      </c>
      <c r="L65" s="14">
        <v>-3.8655903844052347E-2</v>
      </c>
    </row>
    <row r="66" spans="4:12" x14ac:dyDescent="0.15">
      <c r="D66" t="s">
        <v>65</v>
      </c>
      <c r="E66" s="7">
        <v>4.2436277512369169E-2</v>
      </c>
      <c r="F66" s="7">
        <v>-7.097164888071739E-3</v>
      </c>
      <c r="G66" s="7">
        <v>-2.1894928463586677E-2</v>
      </c>
      <c r="H66" s="7">
        <v>1.3444184160710755E-2</v>
      </c>
      <c r="I66" s="6"/>
      <c r="J66" s="14">
        <v>4.2436277512369169E-2</v>
      </c>
      <c r="K66" s="14">
        <v>-7.097164888071739E-3</v>
      </c>
      <c r="L66" s="14">
        <v>-2.1894928463586677E-2</v>
      </c>
    </row>
    <row r="67" spans="4:12" x14ac:dyDescent="0.15">
      <c r="D67" t="s">
        <v>66</v>
      </c>
      <c r="E67" s="7">
        <v>9.3182764367404525E-2</v>
      </c>
      <c r="F67" s="7">
        <v>0.10781931093049074</v>
      </c>
      <c r="G67" s="7">
        <v>0.11674172882302072</v>
      </c>
      <c r="H67" s="7">
        <v>0.31774380412091596</v>
      </c>
      <c r="I67" s="6"/>
      <c r="J67" s="14">
        <v>9.3182764367404525E-2</v>
      </c>
      <c r="K67" s="14">
        <v>0.10781931093049074</v>
      </c>
      <c r="L67" s="14">
        <v>0.11674172882302072</v>
      </c>
    </row>
    <row r="68" spans="4:12" x14ac:dyDescent="0.15">
      <c r="D68" t="s">
        <v>67</v>
      </c>
      <c r="E68" s="7">
        <v>3.554037834532122E-2</v>
      </c>
      <c r="F68" s="7">
        <v>9.0790914504322775E-3</v>
      </c>
      <c r="G68" s="7">
        <v>4.3361922771957911E-2</v>
      </c>
      <c r="H68" s="7">
        <v>8.7981392567711411E-2</v>
      </c>
      <c r="I68" s="6"/>
      <c r="J68" s="14">
        <v>3.554037834532122E-2</v>
      </c>
      <c r="K68" s="14">
        <v>9.0790914504322775E-3</v>
      </c>
      <c r="L68" s="14">
        <v>4.3361922771957911E-2</v>
      </c>
    </row>
    <row r="69" spans="4:12" x14ac:dyDescent="0.15">
      <c r="D69" t="s">
        <v>68</v>
      </c>
      <c r="E69" s="7">
        <v>1.6952407564913688E-2</v>
      </c>
      <c r="F69" s="7">
        <v>-4.6730615639516873E-2</v>
      </c>
      <c r="G69" s="7">
        <v>3.3026930934535778E-2</v>
      </c>
      <c r="H69" s="7">
        <v>3.2487228599325929E-3</v>
      </c>
      <c r="I69" s="6"/>
      <c r="J69" s="14">
        <v>1.6952407564913688E-2</v>
      </c>
      <c r="K69" s="14">
        <v>-4.6730615639516873E-2</v>
      </c>
      <c r="L69" s="14">
        <v>3.3026930934535778E-2</v>
      </c>
    </row>
    <row r="70" spans="4:12" x14ac:dyDescent="0.15">
      <c r="D70" t="s">
        <v>69</v>
      </c>
      <c r="E70" s="7">
        <v>0.13445376141649845</v>
      </c>
      <c r="F70" s="7">
        <v>-2.4257690603985908E-2</v>
      </c>
      <c r="G70" s="7">
        <v>0.18032705274041788</v>
      </c>
      <c r="H70" s="7">
        <v>0.29052312355293042</v>
      </c>
      <c r="I70" s="6"/>
      <c r="J70" s="14">
        <v>0.13445376141649845</v>
      </c>
      <c r="K70" s="14">
        <v>-2.4257690603985908E-2</v>
      </c>
      <c r="L70" s="14">
        <v>0.18032705274041788</v>
      </c>
    </row>
    <row r="71" spans="4:12" x14ac:dyDescent="0.15">
      <c r="D71" t="s">
        <v>70</v>
      </c>
      <c r="E71" s="7">
        <v>1.6000113760991336E-2</v>
      </c>
      <c r="F71" s="7">
        <v>-5.576593984194364E-2</v>
      </c>
      <c r="G71" s="7">
        <v>0.11432972408624154</v>
      </c>
      <c r="H71" s="7">
        <v>7.4563898005289231E-2</v>
      </c>
      <c r="I71" s="6"/>
      <c r="J71" s="14">
        <v>1.6000113760991336E-2</v>
      </c>
      <c r="K71" s="14">
        <v>-5.576593984194364E-2</v>
      </c>
      <c r="L71" s="14">
        <v>0.11432972408624154</v>
      </c>
    </row>
    <row r="72" spans="4:12" x14ac:dyDescent="0.15">
      <c r="D72" t="s">
        <v>71</v>
      </c>
      <c r="E72" s="7">
        <v>-3.428175215817577E-2</v>
      </c>
      <c r="F72" s="7">
        <v>-1.1162150543741856E-2</v>
      </c>
      <c r="G72" s="7">
        <v>-8.2562135721093749E-2</v>
      </c>
      <c r="H72" s="7">
        <v>-0.12800603842301139</v>
      </c>
      <c r="I72" s="6"/>
      <c r="J72" s="14">
        <v>-3.428175215817577E-2</v>
      </c>
      <c r="K72" s="14">
        <v>-1.1162150543741856E-2</v>
      </c>
      <c r="L72" s="14">
        <v>-8.2562135721093749E-2</v>
      </c>
    </row>
    <row r="73" spans="4:12" x14ac:dyDescent="0.15">
      <c r="D73" t="s">
        <v>72</v>
      </c>
      <c r="E73" s="7">
        <v>3.7568725115284599E-3</v>
      </c>
      <c r="F73" s="7">
        <v>0.12421966490612368</v>
      </c>
      <c r="G73" s="7">
        <v>1.6044924491682683E-2</v>
      </c>
      <c r="H73" s="7">
        <v>0.14402146190933482</v>
      </c>
      <c r="I73" s="6"/>
      <c r="J73" s="14">
        <v>3.7568725115284599E-3</v>
      </c>
      <c r="K73" s="14">
        <v>0.12421966490612368</v>
      </c>
      <c r="L73" s="14">
        <v>1.6044924491682683E-2</v>
      </c>
    </row>
    <row r="74" spans="4:12" x14ac:dyDescent="0.15">
      <c r="D74" t="s">
        <v>73</v>
      </c>
      <c r="E74" s="7">
        <v>9.0833224146564903E-2</v>
      </c>
      <c r="F74" s="7">
        <v>9.1112709261652908E-2</v>
      </c>
      <c r="G74" s="7">
        <v>-4.1802194639092176E-2</v>
      </c>
      <c r="H74" s="7">
        <v>0.14014373876912561</v>
      </c>
      <c r="I74" s="6"/>
      <c r="J74" s="14">
        <v>9.0833224146564903E-2</v>
      </c>
      <c r="K74" s="14">
        <v>9.1112709261652908E-2</v>
      </c>
      <c r="L74" s="14">
        <v>-4.1802194639092176E-2</v>
      </c>
    </row>
    <row r="75" spans="4:12" x14ac:dyDescent="0.15">
      <c r="D75" t="s">
        <v>74</v>
      </c>
      <c r="E75" s="7">
        <v>-3.6900848511755659E-2</v>
      </c>
      <c r="F75" s="7">
        <v>4.9954958092856445E-2</v>
      </c>
      <c r="G75" s="7">
        <v>6.6186430438986463E-2</v>
      </c>
      <c r="H75" s="7">
        <v>7.924054002008725E-2</v>
      </c>
      <c r="I75" s="6"/>
      <c r="J75" s="14">
        <v>-3.6900848511755659E-2</v>
      </c>
      <c r="K75" s="14">
        <v>4.9954958092856445E-2</v>
      </c>
      <c r="L75" s="14">
        <v>6.6186430438986463E-2</v>
      </c>
    </row>
    <row r="76" spans="4:12" x14ac:dyDescent="0.15">
      <c r="D76" t="s">
        <v>75</v>
      </c>
      <c r="E76" s="7">
        <v>-4.9824143028712693E-2</v>
      </c>
      <c r="F76" s="7">
        <v>2.6688243446069314E-2</v>
      </c>
      <c r="G76" s="7">
        <v>2.1497748791535216E-2</v>
      </c>
      <c r="H76" s="7">
        <v>-1.638150791108163E-3</v>
      </c>
      <c r="I76" s="6"/>
      <c r="J76" s="14">
        <v>-4.9824143028712693E-2</v>
      </c>
      <c r="K76" s="14">
        <v>2.6688243446069314E-2</v>
      </c>
      <c r="L76" s="14">
        <v>2.1497748791535216E-2</v>
      </c>
    </row>
    <row r="77" spans="4:12" x14ac:dyDescent="0.15">
      <c r="D77" t="s">
        <v>76</v>
      </c>
      <c r="E77" s="7">
        <v>3.9743621899222328E-2</v>
      </c>
      <c r="F77" s="7">
        <v>1.3345324589031773E-2</v>
      </c>
      <c r="G77" s="7">
        <v>7.582309916029048E-2</v>
      </c>
      <c r="H77" s="7">
        <v>0.12891204564854458</v>
      </c>
      <c r="I77" s="6"/>
      <c r="J77" s="14">
        <v>3.9743621899222328E-2</v>
      </c>
      <c r="K77" s="14">
        <v>1.3345324589031773E-2</v>
      </c>
      <c r="L77" s="14">
        <v>7.582309916029048E-2</v>
      </c>
    </row>
    <row r="78" spans="4:12" x14ac:dyDescent="0.15">
      <c r="D78" t="s">
        <v>77</v>
      </c>
      <c r="E78" s="7">
        <v>-3.6346732113093903E-3</v>
      </c>
      <c r="F78" s="7">
        <v>-3.4439535321981476E-2</v>
      </c>
      <c r="G78" s="7">
        <v>-9.3097210460821284E-2</v>
      </c>
      <c r="H78" s="7">
        <v>-0.13117141899411217</v>
      </c>
      <c r="I78" s="6"/>
      <c r="J78" s="14">
        <v>-3.6346732113093903E-3</v>
      </c>
      <c r="K78" s="14">
        <v>-3.4439535321981476E-2</v>
      </c>
      <c r="L78" s="14">
        <v>-9.3097210460821284E-2</v>
      </c>
    </row>
    <row r="79" spans="4:12" x14ac:dyDescent="0.15">
      <c r="D79" t="s">
        <v>78</v>
      </c>
      <c r="E79" s="7">
        <v>0.11144696526845221</v>
      </c>
      <c r="F79" s="7">
        <v>4.6708370119752034E-2</v>
      </c>
      <c r="G79" s="7">
        <v>5.6583392138433303E-2</v>
      </c>
      <c r="H79" s="7">
        <v>0.21473872752663756</v>
      </c>
      <c r="I79" s="6"/>
      <c r="J79" s="14">
        <v>0.11144696526845221</v>
      </c>
      <c r="K79" s="14">
        <v>4.6708370119752034E-2</v>
      </c>
      <c r="L79" s="14">
        <v>5.6583392138433303E-2</v>
      </c>
    </row>
    <row r="80" spans="4:12" x14ac:dyDescent="0.15">
      <c r="D80" t="s">
        <v>79</v>
      </c>
      <c r="E80" s="7">
        <v>5.164290669942366E-2</v>
      </c>
      <c r="F80" s="7">
        <v>5.1480459634240493E-2</v>
      </c>
      <c r="G80" s="7">
        <v>-8.8051181820287552E-2</v>
      </c>
      <c r="H80" s="7">
        <v>1.5072184513376594E-2</v>
      </c>
      <c r="I80" s="6"/>
      <c r="J80" s="14">
        <v>5.164290669942366E-2</v>
      </c>
      <c r="K80" s="14">
        <v>5.1480459634240493E-2</v>
      </c>
      <c r="L80" s="14">
        <v>-8.8051181820287552E-2</v>
      </c>
    </row>
    <row r="81" spans="4:12" x14ac:dyDescent="0.15">
      <c r="D81" t="s">
        <v>87</v>
      </c>
      <c r="E81" s="7">
        <v>1.0764312637962079</v>
      </c>
      <c r="F81" s="7">
        <v>1.9091939661318178</v>
      </c>
      <c r="G81" s="7">
        <v>0.97528994924827273</v>
      </c>
      <c r="H81" s="7">
        <v>3.9609151791762964</v>
      </c>
      <c r="I81" s="6"/>
      <c r="J81" s="14"/>
      <c r="K81" s="14"/>
      <c r="L81" s="14"/>
    </row>
  </sheetData>
  <mergeCells count="1">
    <mergeCell ref="J5:L7"/>
  </mergeCell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C0C5CEB7037448B0FAF5786C6F5FAD" ma:contentTypeVersion="19" ma:contentTypeDescription="Create a new document." ma:contentTypeScope="" ma:versionID="6ebac43247c2cf3b370788c59e76f8e5">
  <xsd:schema xmlns:xsd="http://www.w3.org/2001/XMLSchema" xmlns:xs="http://www.w3.org/2001/XMLSchema" xmlns:p="http://schemas.microsoft.com/office/2006/metadata/properties" xmlns:ns2="1a053452-5bb9-412f-bb10-1fc7cda08c11" xmlns:ns3="2a8dcda2-2760-4dcd-9c97-4a10bb07ace1" targetNamespace="http://schemas.microsoft.com/office/2006/metadata/properties" ma:root="true" ma:fieldsID="3a7e0758fcd04a2efa528ab09c59f9a5" ns2:_="" ns3:_="">
    <xsd:import namespace="1a053452-5bb9-412f-bb10-1fc7cda08c11"/>
    <xsd:import namespace="2a8dcda2-2760-4dcd-9c97-4a10bb07ac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53452-5bb9-412f-bb10-1fc7cda08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dcda2-2760-4dcd-9c97-4a10bb07ac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c86df7f-923d-47f4-92b4-181313c84cc3}" ma:internalName="TaxCatchAll" ma:showField="CatchAllData" ma:web="2a8dcda2-2760-4dcd-9c97-4a10bb07ac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4D1E87-C032-4A4E-9F6C-5341F0A6D5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053452-5bb9-412f-bb10-1fc7cda08c11"/>
    <ds:schemaRef ds:uri="2a8dcda2-2760-4dcd-9c97-4a10bb07ac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FE7493-5175-46BA-8EFF-7B0091D70C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 Prices</vt:lpstr>
      <vt:lpstr>Sheet1</vt:lpstr>
      <vt:lpstr>Market Index</vt:lpstr>
      <vt:lpstr>Risk Free Rate</vt:lpstr>
      <vt:lpstr>sharp 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Lajugie, Rodolphe</cp:lastModifiedBy>
  <dcterms:created xsi:type="dcterms:W3CDTF">2025-10-23T17:30:33Z</dcterms:created>
  <dcterms:modified xsi:type="dcterms:W3CDTF">2025-11-09T14:59:18Z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</Properties>
</file>